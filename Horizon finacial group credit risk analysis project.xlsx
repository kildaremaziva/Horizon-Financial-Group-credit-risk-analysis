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excel project\"/>
    </mc:Choice>
  </mc:AlternateContent>
  <xr:revisionPtr revIDLastSave="0" documentId="13_ncr:1_{4DE3BDC0-EDDB-4712-86B0-6FEDE7023784}" xr6:coauthVersionLast="47" xr6:coauthVersionMax="47" xr10:uidLastSave="{00000000-0000-0000-0000-000000000000}"/>
  <bookViews>
    <workbookView xWindow="-120" yWindow="-120" windowWidth="20730" windowHeight="11760" activeTab="4" xr2:uid="{A4C967D3-2D09-44A0-AEB6-1998A90F64DC}"/>
  </bookViews>
  <sheets>
    <sheet name="data" sheetId="1" r:id="rId1"/>
    <sheet name="summary" sheetId="2" r:id="rId2"/>
    <sheet name="pivot tables " sheetId="3" r:id="rId3"/>
    <sheet name="charts" sheetId="4" r:id="rId4"/>
    <sheet name="Dashboard " sheetId="7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C5" i="7" s="1"/>
  <c r="G5" i="7"/>
  <c r="B12" i="2" l="1"/>
  <c r="B11" i="2"/>
  <c r="B10" i="2"/>
  <c r="B9" i="2"/>
  <c r="B8" i="2"/>
  <c r="B3" i="2"/>
  <c r="B4" i="2" s="1"/>
  <c r="K5" i="7" s="1"/>
  <c r="L602" i="1" a="1"/>
  <c r="L60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2" i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 s="1"/>
  <c r="L231" i="1" a="1"/>
  <c r="L231" i="1" s="1"/>
  <c r="L232" i="1" a="1"/>
  <c r="L232" i="1" s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 s="1"/>
  <c r="L255" i="1" a="1"/>
  <c r="L255" i="1" s="1"/>
  <c r="L256" i="1" a="1"/>
  <c r="L256" i="1" s="1"/>
  <c r="L257" i="1" a="1"/>
  <c r="L257" i="1" s="1"/>
  <c r="L258" i="1" a="1"/>
  <c r="L258" i="1" s="1"/>
  <c r="L259" i="1" a="1"/>
  <c r="L259" i="1" s="1"/>
  <c r="L260" i="1" a="1"/>
  <c r="L260" i="1" s="1"/>
  <c r="L261" i="1" a="1"/>
  <c r="L261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 s="1"/>
  <c r="L279" i="1" a="1"/>
  <c r="L279" i="1" s="1"/>
  <c r="L280" i="1" a="1"/>
  <c r="L280" i="1" s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4" i="1" a="1"/>
  <c r="L294" i="1" s="1"/>
  <c r="L295" i="1" a="1"/>
  <c r="L295" i="1" s="1"/>
  <c r="L296" i="1" a="1"/>
  <c r="L296" i="1" s="1"/>
  <c r="L297" i="1" a="1"/>
  <c r="L297" i="1" s="1"/>
  <c r="L298" i="1" a="1"/>
  <c r="L298" i="1" s="1"/>
  <c r="L299" i="1" a="1"/>
  <c r="L299" i="1" s="1"/>
  <c r="L300" i="1" a="1"/>
  <c r="L300" i="1" s="1"/>
  <c r="L301" i="1" a="1"/>
  <c r="L301" i="1" s="1"/>
  <c r="L302" i="1" a="1"/>
  <c r="L302" i="1" s="1"/>
  <c r="L303" i="1" a="1"/>
  <c r="L303" i="1" s="1"/>
  <c r="L304" i="1" a="1"/>
  <c r="L304" i="1" s="1"/>
  <c r="L305" i="1" a="1"/>
  <c r="L305" i="1" s="1"/>
  <c r="L306" i="1" a="1"/>
  <c r="L306" i="1" s="1"/>
  <c r="L307" i="1" a="1"/>
  <c r="L307" i="1" s="1"/>
  <c r="L308" i="1" a="1"/>
  <c r="L308" i="1" s="1"/>
  <c r="L309" i="1" a="1"/>
  <c r="L309" i="1" s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5" i="1" a="1"/>
  <c r="L335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 s="1"/>
  <c r="L341" i="1" a="1"/>
  <c r="L341" i="1" s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 s="1"/>
  <c r="L348" i="1" a="1"/>
  <c r="L348" i="1" s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 s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L362" i="1" a="1"/>
  <c r="L362" i="1" s="1"/>
  <c r="L363" i="1" a="1"/>
  <c r="L363" i="1" s="1"/>
  <c r="L364" i="1" a="1"/>
  <c r="L364" i="1" s="1"/>
  <c r="L365" i="1" a="1"/>
  <c r="L365" i="1" s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 s="1"/>
  <c r="L373" i="1" a="1"/>
  <c r="L373" i="1" s="1"/>
  <c r="L374" i="1" a="1"/>
  <c r="L374" i="1" s="1"/>
  <c r="L375" i="1" a="1"/>
  <c r="L375" i="1" s="1"/>
  <c r="L376" i="1" a="1"/>
  <c r="L376" i="1" s="1"/>
  <c r="L377" i="1" a="1"/>
  <c r="L377" i="1" s="1"/>
  <c r="L378" i="1" a="1"/>
  <c r="L378" i="1" s="1"/>
  <c r="L379" i="1" a="1"/>
  <c r="L379" i="1" s="1"/>
  <c r="L380" i="1" a="1"/>
  <c r="L380" i="1" s="1"/>
  <c r="L381" i="1" a="1"/>
  <c r="L381" i="1" s="1"/>
  <c r="L382" i="1" a="1"/>
  <c r="L382" i="1" s="1"/>
  <c r="L383" i="1" a="1"/>
  <c r="L383" i="1" s="1"/>
  <c r="L384" i="1" a="1"/>
  <c r="L384" i="1" s="1"/>
  <c r="L385" i="1" a="1"/>
  <c r="L385" i="1" s="1"/>
  <c r="L386" i="1" a="1"/>
  <c r="L386" i="1" s="1"/>
  <c r="L387" i="1" a="1"/>
  <c r="L387" i="1" s="1"/>
  <c r="L388" i="1" a="1"/>
  <c r="L388" i="1" s="1"/>
  <c r="L389" i="1" a="1"/>
  <c r="L389" i="1" s="1"/>
  <c r="L390" i="1" a="1"/>
  <c r="L390" i="1" s="1"/>
  <c r="L391" i="1" a="1"/>
  <c r="L391" i="1"/>
  <c r="L392" i="1" a="1"/>
  <c r="L392" i="1" s="1"/>
  <c r="L393" i="1" a="1"/>
  <c r="L393" i="1" s="1"/>
  <c r="L394" i="1" a="1"/>
  <c r="L394" i="1" s="1"/>
  <c r="L395" i="1" a="1"/>
  <c r="L395" i="1" s="1"/>
  <c r="L396" i="1" a="1"/>
  <c r="L396" i="1" s="1"/>
  <c r="L397" i="1" a="1"/>
  <c r="L397" i="1" s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 s="1"/>
  <c r="L405" i="1" a="1"/>
  <c r="L405" i="1" s="1"/>
  <c r="L406" i="1" a="1"/>
  <c r="L406" i="1" s="1"/>
  <c r="L407" i="1" a="1"/>
  <c r="L407" i="1" s="1"/>
  <c r="L408" i="1" a="1"/>
  <c r="L408" i="1" s="1"/>
  <c r="L409" i="1" a="1"/>
  <c r="L409" i="1" s="1"/>
  <c r="L410" i="1" a="1"/>
  <c r="L410" i="1" s="1"/>
  <c r="L411" i="1" a="1"/>
  <c r="L411" i="1" s="1"/>
  <c r="L412" i="1" a="1"/>
  <c r="L412" i="1" s="1"/>
  <c r="L413" i="1" a="1"/>
  <c r="L413" i="1" s="1"/>
  <c r="L414" i="1" a="1"/>
  <c r="L414" i="1" s="1"/>
  <c r="L415" i="1" a="1"/>
  <c r="L415" i="1" s="1"/>
  <c r="L416" i="1" a="1"/>
  <c r="L416" i="1" s="1"/>
  <c r="L417" i="1" a="1"/>
  <c r="L417" i="1" s="1"/>
  <c r="L418" i="1" a="1"/>
  <c r="L418" i="1" s="1"/>
  <c r="L419" i="1" a="1"/>
  <c r="L419" i="1" s="1"/>
  <c r="L420" i="1" a="1"/>
  <c r="L420" i="1" s="1"/>
  <c r="L421" i="1" a="1"/>
  <c r="L421" i="1" s="1"/>
  <c r="L422" i="1" a="1"/>
  <c r="L422" i="1" s="1"/>
  <c r="L423" i="1" a="1"/>
  <c r="L423" i="1" s="1"/>
  <c r="L424" i="1" a="1"/>
  <c r="L424" i="1" s="1"/>
  <c r="L425" i="1" a="1"/>
  <c r="L425" i="1" s="1"/>
  <c r="L426" i="1" a="1"/>
  <c r="L426" i="1" s="1"/>
  <c r="L427" i="1" a="1"/>
  <c r="L427" i="1" s="1"/>
  <c r="L428" i="1" a="1"/>
  <c r="L428" i="1" s="1"/>
  <c r="L429" i="1" a="1"/>
  <c r="L429" i="1" s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 s="1"/>
  <c r="L437" i="1" a="1"/>
  <c r="L437" i="1" s="1"/>
  <c r="L438" i="1" a="1"/>
  <c r="L438" i="1" s="1"/>
  <c r="L439" i="1" a="1"/>
  <c r="L439" i="1" s="1"/>
  <c r="L440" i="1" a="1"/>
  <c r="L440" i="1" s="1"/>
  <c r="L441" i="1" a="1"/>
  <c r="L441" i="1" s="1"/>
  <c r="L442" i="1" a="1"/>
  <c r="L442" i="1" s="1"/>
  <c r="L443" i="1" a="1"/>
  <c r="L443" i="1" s="1"/>
  <c r="L444" i="1" a="1"/>
  <c r="L444" i="1" s="1"/>
  <c r="L445" i="1" a="1"/>
  <c r="L445" i="1" s="1"/>
  <c r="L446" i="1" a="1"/>
  <c r="L446" i="1" s="1"/>
  <c r="L447" i="1" a="1"/>
  <c r="L447" i="1" s="1"/>
  <c r="L448" i="1" a="1"/>
  <c r="L448" i="1" s="1"/>
  <c r="L449" i="1" a="1"/>
  <c r="L449" i="1" s="1"/>
  <c r="L450" i="1" a="1"/>
  <c r="L450" i="1" s="1"/>
  <c r="L451" i="1" a="1"/>
  <c r="L451" i="1" s="1"/>
  <c r="L452" i="1" a="1"/>
  <c r="L452" i="1" s="1"/>
  <c r="L453" i="1" a="1"/>
  <c r="L453" i="1" s="1"/>
  <c r="L454" i="1" a="1"/>
  <c r="L454" i="1" s="1"/>
  <c r="L455" i="1" a="1"/>
  <c r="L455" i="1" s="1"/>
  <c r="L456" i="1" a="1"/>
  <c r="L456" i="1" s="1"/>
  <c r="L457" i="1" a="1"/>
  <c r="L457" i="1" s="1"/>
  <c r="L458" i="1" a="1"/>
  <c r="L458" i="1" s="1"/>
  <c r="L459" i="1" a="1"/>
  <c r="L459" i="1" s="1"/>
  <c r="L460" i="1" a="1"/>
  <c r="L460" i="1" s="1"/>
  <c r="L461" i="1" a="1"/>
  <c r="L461" i="1" s="1"/>
  <c r="L462" i="1" a="1"/>
  <c r="L462" i="1" s="1"/>
  <c r="L463" i="1" a="1"/>
  <c r="L463" i="1" s="1"/>
  <c r="L464" i="1" a="1"/>
  <c r="L464" i="1" s="1"/>
  <c r="L465" i="1" a="1"/>
  <c r="L465" i="1" s="1"/>
  <c r="L466" i="1" a="1"/>
  <c r="L466" i="1" s="1"/>
  <c r="L467" i="1" a="1"/>
  <c r="L467" i="1" s="1"/>
  <c r="L468" i="1" a="1"/>
  <c r="L468" i="1" s="1"/>
  <c r="L469" i="1" a="1"/>
  <c r="L469" i="1" s="1"/>
  <c r="L470" i="1" a="1"/>
  <c r="L470" i="1" s="1"/>
  <c r="L471" i="1" a="1"/>
  <c r="L471" i="1" s="1"/>
  <c r="L472" i="1" a="1"/>
  <c r="L472" i="1" s="1"/>
  <c r="L473" i="1" a="1"/>
  <c r="L473" i="1" s="1"/>
  <c r="L474" i="1" a="1"/>
  <c r="L474" i="1" s="1"/>
  <c r="L475" i="1" a="1"/>
  <c r="L475" i="1" s="1"/>
  <c r="L476" i="1" a="1"/>
  <c r="L476" i="1" s="1"/>
  <c r="L477" i="1" a="1"/>
  <c r="L477" i="1" s="1"/>
  <c r="L478" i="1" a="1"/>
  <c r="L478" i="1" s="1"/>
  <c r="L479" i="1" a="1"/>
  <c r="L479" i="1" s="1"/>
  <c r="L480" i="1" a="1"/>
  <c r="L480" i="1" s="1"/>
  <c r="L481" i="1" a="1"/>
  <c r="L481" i="1" s="1"/>
  <c r="L482" i="1" a="1"/>
  <c r="L482" i="1" s="1"/>
  <c r="L483" i="1" a="1"/>
  <c r="L483" i="1" s="1"/>
  <c r="L484" i="1" a="1"/>
  <c r="L484" i="1" s="1"/>
  <c r="L485" i="1" a="1"/>
  <c r="L485" i="1" s="1"/>
  <c r="L486" i="1" a="1"/>
  <c r="L486" i="1" s="1"/>
  <c r="L487" i="1" a="1"/>
  <c r="L487" i="1" s="1"/>
  <c r="L488" i="1" a="1"/>
  <c r="L488" i="1" s="1"/>
  <c r="L489" i="1" a="1"/>
  <c r="L489" i="1" s="1"/>
  <c r="L490" i="1" a="1"/>
  <c r="L490" i="1" s="1"/>
  <c r="L491" i="1" a="1"/>
  <c r="L491" i="1" s="1"/>
  <c r="L492" i="1" a="1"/>
  <c r="L492" i="1" s="1"/>
  <c r="L493" i="1" a="1"/>
  <c r="L493" i="1" s="1"/>
  <c r="L494" i="1" a="1"/>
  <c r="L494" i="1" s="1"/>
  <c r="L495" i="1" a="1"/>
  <c r="L495" i="1" s="1"/>
  <c r="L496" i="1" a="1"/>
  <c r="L496" i="1" s="1"/>
  <c r="L497" i="1" a="1"/>
  <c r="L497" i="1"/>
  <c r="L498" i="1" a="1"/>
  <c r="L498" i="1" s="1"/>
  <c r="L499" i="1" a="1"/>
  <c r="L499" i="1" s="1"/>
  <c r="L500" i="1" a="1"/>
  <c r="L500" i="1" s="1"/>
  <c r="L501" i="1" a="1"/>
  <c r="L501" i="1" s="1"/>
  <c r="L502" i="1" a="1"/>
  <c r="L502" i="1" s="1"/>
  <c r="L503" i="1" a="1"/>
  <c r="L503" i="1"/>
  <c r="L504" i="1" a="1"/>
  <c r="L504" i="1" s="1"/>
  <c r="L505" i="1" a="1"/>
  <c r="L505" i="1" s="1"/>
  <c r="L506" i="1" a="1"/>
  <c r="L506" i="1" s="1"/>
  <c r="L507" i="1" a="1"/>
  <c r="L507" i="1" s="1"/>
  <c r="L508" i="1" a="1"/>
  <c r="L508" i="1" s="1"/>
  <c r="L509" i="1" a="1"/>
  <c r="L509" i="1" s="1"/>
  <c r="L510" i="1" a="1"/>
  <c r="L510" i="1" s="1"/>
  <c r="L511" i="1" a="1"/>
  <c r="L511" i="1" s="1"/>
  <c r="L512" i="1" a="1"/>
  <c r="L512" i="1" s="1"/>
  <c r="L513" i="1" a="1"/>
  <c r="L513" i="1" s="1"/>
  <c r="L514" i="1" a="1"/>
  <c r="L514" i="1" s="1"/>
  <c r="L515" i="1" a="1"/>
  <c r="L515" i="1" s="1"/>
  <c r="L516" i="1" a="1"/>
  <c r="L516" i="1" s="1"/>
  <c r="L517" i="1" a="1"/>
  <c r="L517" i="1" s="1"/>
  <c r="L518" i="1" a="1"/>
  <c r="L518" i="1" s="1"/>
  <c r="L519" i="1" a="1"/>
  <c r="L519" i="1" s="1"/>
  <c r="L520" i="1" a="1"/>
  <c r="L520" i="1" s="1"/>
  <c r="L521" i="1" a="1"/>
  <c r="L521" i="1" s="1"/>
  <c r="L522" i="1" a="1"/>
  <c r="L522" i="1" s="1"/>
  <c r="L523" i="1" a="1"/>
  <c r="L523" i="1" s="1"/>
  <c r="L524" i="1" a="1"/>
  <c r="L524" i="1" s="1"/>
  <c r="L525" i="1" a="1"/>
  <c r="L525" i="1" s="1"/>
  <c r="L526" i="1" a="1"/>
  <c r="L526" i="1" s="1"/>
  <c r="L527" i="1" a="1"/>
  <c r="L527" i="1" s="1"/>
  <c r="L528" i="1" a="1"/>
  <c r="L528" i="1" s="1"/>
  <c r="L529" i="1" a="1"/>
  <c r="L529" i="1" s="1"/>
  <c r="L530" i="1" a="1"/>
  <c r="L530" i="1" s="1"/>
  <c r="L531" i="1" a="1"/>
  <c r="L531" i="1" s="1"/>
  <c r="L532" i="1" a="1"/>
  <c r="L532" i="1" s="1"/>
  <c r="L533" i="1" a="1"/>
  <c r="L533" i="1" s="1"/>
  <c r="L534" i="1" a="1"/>
  <c r="L534" i="1" s="1"/>
  <c r="L535" i="1" a="1"/>
  <c r="L535" i="1" s="1"/>
  <c r="L536" i="1" a="1"/>
  <c r="L536" i="1" s="1"/>
  <c r="L537" i="1" a="1"/>
  <c r="L537" i="1" s="1"/>
  <c r="L538" i="1" a="1"/>
  <c r="L538" i="1" s="1"/>
  <c r="L539" i="1" a="1"/>
  <c r="L539" i="1" s="1"/>
  <c r="L540" i="1" a="1"/>
  <c r="L540" i="1" s="1"/>
  <c r="L541" i="1" a="1"/>
  <c r="L541" i="1" s="1"/>
  <c r="L542" i="1" a="1"/>
  <c r="L542" i="1" s="1"/>
  <c r="L543" i="1" a="1"/>
  <c r="L543" i="1" s="1"/>
  <c r="L544" i="1" a="1"/>
  <c r="L544" i="1" s="1"/>
  <c r="L545" i="1" a="1"/>
  <c r="L545" i="1" s="1"/>
  <c r="L546" i="1" a="1"/>
  <c r="L546" i="1" s="1"/>
  <c r="L547" i="1" a="1"/>
  <c r="L547" i="1" s="1"/>
  <c r="L548" i="1" a="1"/>
  <c r="L548" i="1" s="1"/>
  <c r="L549" i="1" a="1"/>
  <c r="L549" i="1" s="1"/>
  <c r="L550" i="1" a="1"/>
  <c r="L550" i="1" s="1"/>
  <c r="L551" i="1" a="1"/>
  <c r="L551" i="1" s="1"/>
  <c r="L552" i="1" a="1"/>
  <c r="L552" i="1" s="1"/>
  <c r="L553" i="1" a="1"/>
  <c r="L553" i="1" s="1"/>
  <c r="L554" i="1" a="1"/>
  <c r="L554" i="1" s="1"/>
  <c r="L555" i="1" a="1"/>
  <c r="L555" i="1" s="1"/>
  <c r="L556" i="1" a="1"/>
  <c r="L556" i="1" s="1"/>
  <c r="L557" i="1" a="1"/>
  <c r="L557" i="1" s="1"/>
  <c r="L558" i="1" a="1"/>
  <c r="L558" i="1" s="1"/>
  <c r="L559" i="1" a="1"/>
  <c r="L559" i="1" s="1"/>
  <c r="L560" i="1" a="1"/>
  <c r="L560" i="1" s="1"/>
  <c r="L561" i="1" a="1"/>
  <c r="L561" i="1" s="1"/>
  <c r="L562" i="1" a="1"/>
  <c r="L562" i="1" s="1"/>
  <c r="L563" i="1" a="1"/>
  <c r="L563" i="1" s="1"/>
  <c r="L564" i="1" a="1"/>
  <c r="L564" i="1" s="1"/>
  <c r="L565" i="1" a="1"/>
  <c r="L565" i="1" s="1"/>
  <c r="L566" i="1" a="1"/>
  <c r="L566" i="1" s="1"/>
  <c r="L567" i="1" a="1"/>
  <c r="L567" i="1"/>
  <c r="L568" i="1" a="1"/>
  <c r="L568" i="1" s="1"/>
  <c r="L569" i="1" a="1"/>
  <c r="L569" i="1" s="1"/>
  <c r="L570" i="1" a="1"/>
  <c r="L570" i="1" s="1"/>
  <c r="L571" i="1" a="1"/>
  <c r="L571" i="1" s="1"/>
  <c r="L572" i="1" a="1"/>
  <c r="L572" i="1" s="1"/>
  <c r="L573" i="1" a="1"/>
  <c r="L573" i="1" s="1"/>
  <c r="L574" i="1" a="1"/>
  <c r="L574" i="1" s="1"/>
  <c r="L575" i="1" a="1"/>
  <c r="L575" i="1" s="1"/>
  <c r="L576" i="1" a="1"/>
  <c r="L576" i="1" s="1"/>
  <c r="L577" i="1" a="1"/>
  <c r="L577" i="1" s="1"/>
  <c r="L578" i="1" a="1"/>
  <c r="L578" i="1" s="1"/>
  <c r="L579" i="1" a="1"/>
  <c r="L579" i="1" s="1"/>
  <c r="L580" i="1" a="1"/>
  <c r="L580" i="1" s="1"/>
  <c r="L581" i="1" a="1"/>
  <c r="L581" i="1" s="1"/>
  <c r="L582" i="1" a="1"/>
  <c r="L582" i="1" s="1"/>
  <c r="L583" i="1" a="1"/>
  <c r="L583" i="1" s="1"/>
  <c r="L584" i="1" a="1"/>
  <c r="L584" i="1" s="1"/>
  <c r="L585" i="1" a="1"/>
  <c r="L585" i="1" s="1"/>
  <c r="L586" i="1" a="1"/>
  <c r="L586" i="1" s="1"/>
  <c r="L587" i="1" a="1"/>
  <c r="L587" i="1" s="1"/>
  <c r="L588" i="1" a="1"/>
  <c r="L588" i="1" s="1"/>
  <c r="L589" i="1" a="1"/>
  <c r="L589" i="1" s="1"/>
  <c r="L590" i="1" a="1"/>
  <c r="L590" i="1" s="1"/>
  <c r="L591" i="1" a="1"/>
  <c r="L591" i="1" s="1"/>
  <c r="L592" i="1" a="1"/>
  <c r="L592" i="1" s="1"/>
  <c r="L593" i="1" a="1"/>
  <c r="L593" i="1" s="1"/>
  <c r="L594" i="1" a="1"/>
  <c r="L594" i="1" s="1"/>
  <c r="L595" i="1" a="1"/>
  <c r="L595" i="1" s="1"/>
  <c r="L596" i="1" a="1"/>
  <c r="L596" i="1" s="1"/>
  <c r="L597" i="1" a="1"/>
  <c r="L597" i="1" s="1"/>
  <c r="L598" i="1" a="1"/>
  <c r="L598" i="1" s="1"/>
  <c r="L599" i="1" a="1"/>
  <c r="L599" i="1" s="1"/>
  <c r="L600" i="1" a="1"/>
  <c r="L600" i="1" s="1"/>
  <c r="L601" i="1" a="1"/>
  <c r="L601" i="1" s="1"/>
  <c r="L2" i="1" a="1"/>
  <c r="L2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 s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8" i="1" a="1"/>
  <c r="K188" i="1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 s="1"/>
  <c r="K203" i="1" a="1"/>
  <c r="K203" i="1" s="1"/>
  <c r="K204" i="1" a="1"/>
  <c r="K204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12" i="1" a="1"/>
  <c r="K212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 s="1"/>
  <c r="K221" i="1" a="1"/>
  <c r="K221" i="1" s="1"/>
  <c r="K222" i="1" a="1"/>
  <c r="K222" i="1" s="1"/>
  <c r="K223" i="1" a="1"/>
  <c r="K223" i="1" s="1"/>
  <c r="K224" i="1" a="1"/>
  <c r="K224" i="1" s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36" i="1" a="1"/>
  <c r="K236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 s="1"/>
  <c r="K245" i="1" a="1"/>
  <c r="K245" i="1" s="1"/>
  <c r="K246" i="1" a="1"/>
  <c r="K246" i="1" s="1"/>
  <c r="K247" i="1" a="1"/>
  <c r="K247" i="1" s="1"/>
  <c r="K248" i="1" a="1"/>
  <c r="K248" i="1" s="1"/>
  <c r="K249" i="1" a="1"/>
  <c r="K249" i="1" s="1"/>
  <c r="K250" i="1" a="1"/>
  <c r="K250" i="1" s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60" i="1" a="1"/>
  <c r="K260" i="1" s="1"/>
  <c r="K261" i="1" a="1"/>
  <c r="K261" i="1" s="1"/>
  <c r="K262" i="1" a="1"/>
  <c r="K262" i="1" s="1"/>
  <c r="K263" i="1" a="1"/>
  <c r="K263" i="1" s="1"/>
  <c r="K264" i="1" a="1"/>
  <c r="K264" i="1" s="1"/>
  <c r="K265" i="1" a="1"/>
  <c r="K265" i="1" s="1"/>
  <c r="K266" i="1" a="1"/>
  <c r="K266" i="1" s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2" i="1" a="1"/>
  <c r="K272" i="1" s="1"/>
  <c r="K273" i="1" a="1"/>
  <c r="K273" i="1" s="1"/>
  <c r="K274" i="1" a="1"/>
  <c r="K274" i="1" s="1"/>
  <c r="K275" i="1" a="1"/>
  <c r="K275" i="1" s="1"/>
  <c r="K276" i="1" a="1"/>
  <c r="K276" i="1" s="1"/>
  <c r="K277" i="1" a="1"/>
  <c r="K277" i="1" s="1"/>
  <c r="K278" i="1" a="1"/>
  <c r="K278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 s="1"/>
  <c r="K284" i="1" a="1"/>
  <c r="K284" i="1" s="1"/>
  <c r="K285" i="1" a="1"/>
  <c r="K285" i="1" s="1"/>
  <c r="K286" i="1" a="1"/>
  <c r="K286" i="1" s="1"/>
  <c r="K287" i="1" a="1"/>
  <c r="K287" i="1" s="1"/>
  <c r="K288" i="1" a="1"/>
  <c r="K288" i="1" s="1"/>
  <c r="K289" i="1" a="1"/>
  <c r="K289" i="1" s="1"/>
  <c r="K290" i="1" a="1"/>
  <c r="K290" i="1" s="1"/>
  <c r="K291" i="1" a="1"/>
  <c r="K291" i="1" s="1"/>
  <c r="K292" i="1" a="1"/>
  <c r="K292" i="1" s="1"/>
  <c r="K293" i="1" a="1"/>
  <c r="K293" i="1" s="1"/>
  <c r="K294" i="1" a="1"/>
  <c r="K294" i="1" s="1"/>
  <c r="K295" i="1" a="1"/>
  <c r="K295" i="1" s="1"/>
  <c r="K296" i="1" a="1"/>
  <c r="K296" i="1" s="1"/>
  <c r="K297" i="1" a="1"/>
  <c r="K297" i="1" s="1"/>
  <c r="K298" i="1" a="1"/>
  <c r="K298" i="1" s="1"/>
  <c r="K299" i="1" a="1"/>
  <c r="K299" i="1" s="1"/>
  <c r="K300" i="1" a="1"/>
  <c r="K300" i="1" s="1"/>
  <c r="K301" i="1" a="1"/>
  <c r="K301" i="1" s="1"/>
  <c r="K302" i="1" a="1"/>
  <c r="K302" i="1" s="1"/>
  <c r="K303" i="1" a="1"/>
  <c r="K303" i="1" s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 s="1"/>
  <c r="K312" i="1" a="1"/>
  <c r="K312" i="1" s="1"/>
  <c r="K313" i="1" a="1"/>
  <c r="K313" i="1" s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8" i="1" a="1"/>
  <c r="K338" i="1" s="1"/>
  <c r="K339" i="1" a="1"/>
  <c r="K339" i="1" s="1"/>
  <c r="K340" i="1" a="1"/>
  <c r="K340" i="1" s="1"/>
  <c r="K341" i="1" a="1"/>
  <c r="K341" i="1" s="1"/>
  <c r="K342" i="1" a="1"/>
  <c r="K342" i="1" s="1"/>
  <c r="K343" i="1" a="1"/>
  <c r="K343" i="1" s="1"/>
  <c r="K344" i="1" a="1"/>
  <c r="K344" i="1" s="1"/>
  <c r="K345" i="1" a="1"/>
  <c r="K345" i="1" s="1"/>
  <c r="K346" i="1" a="1"/>
  <c r="K346" i="1" s="1"/>
  <c r="K347" i="1" a="1"/>
  <c r="K347" i="1" s="1"/>
  <c r="K348" i="1" a="1"/>
  <c r="K348" i="1" s="1"/>
  <c r="K349" i="1" a="1"/>
  <c r="K349" i="1" s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 s="1"/>
  <c r="K357" i="1" a="1"/>
  <c r="K357" i="1" s="1"/>
  <c r="K358" i="1" a="1"/>
  <c r="K358" i="1" s="1"/>
  <c r="K359" i="1" a="1"/>
  <c r="K359" i="1" s="1"/>
  <c r="K360" i="1" a="1"/>
  <c r="K360" i="1" s="1"/>
  <c r="K361" i="1" a="1"/>
  <c r="K361" i="1" s="1"/>
  <c r="K362" i="1" a="1"/>
  <c r="K362" i="1" s="1"/>
  <c r="K363" i="1" a="1"/>
  <c r="K363" i="1" s="1"/>
  <c r="K364" i="1" a="1"/>
  <c r="K364" i="1" s="1"/>
  <c r="K365" i="1" a="1"/>
  <c r="K365" i="1" s="1"/>
  <c r="K366" i="1" a="1"/>
  <c r="K366" i="1" s="1"/>
  <c r="K367" i="1" a="1"/>
  <c r="K367" i="1" s="1"/>
  <c r="K368" i="1" a="1"/>
  <c r="K368" i="1" s="1"/>
  <c r="K369" i="1" a="1"/>
  <c r="K369" i="1" s="1"/>
  <c r="K370" i="1" a="1"/>
  <c r="K370" i="1" s="1"/>
  <c r="K371" i="1" a="1"/>
  <c r="K371" i="1" s="1"/>
  <c r="K372" i="1" a="1"/>
  <c r="K372" i="1" s="1"/>
  <c r="K373" i="1" a="1"/>
  <c r="K373" i="1" s="1"/>
  <c r="K374" i="1" a="1"/>
  <c r="K374" i="1" s="1"/>
  <c r="K375" i="1" a="1"/>
  <c r="K375" i="1" s="1"/>
  <c r="K376" i="1" a="1"/>
  <c r="K376" i="1" s="1"/>
  <c r="K377" i="1" a="1"/>
  <c r="K377" i="1" s="1"/>
  <c r="K378" i="1" a="1"/>
  <c r="K378" i="1" s="1"/>
  <c r="K379" i="1" a="1"/>
  <c r="K379" i="1" s="1"/>
  <c r="K380" i="1" a="1"/>
  <c r="K380" i="1" s="1"/>
  <c r="K381" i="1" a="1"/>
  <c r="K381" i="1" s="1"/>
  <c r="K382" i="1" a="1"/>
  <c r="K382" i="1" s="1"/>
  <c r="K383" i="1" a="1"/>
  <c r="K383" i="1" s="1"/>
  <c r="K384" i="1" a="1"/>
  <c r="K384" i="1" s="1"/>
  <c r="K385" i="1" a="1"/>
  <c r="K385" i="1" s="1"/>
  <c r="K386" i="1" a="1"/>
  <c r="K386" i="1" s="1"/>
  <c r="K387" i="1" a="1"/>
  <c r="K387" i="1" s="1"/>
  <c r="K388" i="1" a="1"/>
  <c r="K388" i="1" s="1"/>
  <c r="K389" i="1" a="1"/>
  <c r="K389" i="1" s="1"/>
  <c r="K390" i="1" a="1"/>
  <c r="K390" i="1" s="1"/>
  <c r="K391" i="1" a="1"/>
  <c r="K391" i="1" s="1"/>
  <c r="K392" i="1" a="1"/>
  <c r="K392" i="1" s="1"/>
  <c r="K393" i="1" a="1"/>
  <c r="K393" i="1" s="1"/>
  <c r="K394" i="1" a="1"/>
  <c r="K394" i="1" s="1"/>
  <c r="K395" i="1" a="1"/>
  <c r="K395" i="1" s="1"/>
  <c r="K396" i="1" a="1"/>
  <c r="K396" i="1" s="1"/>
  <c r="K397" i="1" a="1"/>
  <c r="K397" i="1" s="1"/>
  <c r="K398" i="1" a="1"/>
  <c r="K398" i="1" s="1"/>
  <c r="K399" i="1" a="1"/>
  <c r="K399" i="1" s="1"/>
  <c r="K400" i="1" a="1"/>
  <c r="K400" i="1" s="1"/>
  <c r="K401" i="1" a="1"/>
  <c r="K401" i="1" s="1"/>
  <c r="K402" i="1" a="1"/>
  <c r="K402" i="1" s="1"/>
  <c r="K403" i="1" a="1"/>
  <c r="K403" i="1" s="1"/>
  <c r="K404" i="1" a="1"/>
  <c r="K404" i="1" s="1"/>
  <c r="K405" i="1" a="1"/>
  <c r="K405" i="1" s="1"/>
  <c r="K406" i="1" a="1"/>
  <c r="K406" i="1" s="1"/>
  <c r="K407" i="1" a="1"/>
  <c r="K407" i="1" s="1"/>
  <c r="K408" i="1" a="1"/>
  <c r="K408" i="1" s="1"/>
  <c r="K409" i="1" a="1"/>
  <c r="K409" i="1" s="1"/>
  <c r="K410" i="1" a="1"/>
  <c r="K410" i="1" s="1"/>
  <c r="K411" i="1" a="1"/>
  <c r="K411" i="1" s="1"/>
  <c r="K412" i="1" a="1"/>
  <c r="K412" i="1" s="1"/>
  <c r="K413" i="1" a="1"/>
  <c r="K413" i="1" s="1"/>
  <c r="K414" i="1" a="1"/>
  <c r="K414" i="1" s="1"/>
  <c r="K415" i="1" a="1"/>
  <c r="K415" i="1" s="1"/>
  <c r="K416" i="1" a="1"/>
  <c r="K416" i="1" s="1"/>
  <c r="K417" i="1" a="1"/>
  <c r="K417" i="1" s="1"/>
  <c r="K418" i="1" a="1"/>
  <c r="K418" i="1" s="1"/>
  <c r="K419" i="1" a="1"/>
  <c r="K419" i="1" s="1"/>
  <c r="K420" i="1" a="1"/>
  <c r="K420" i="1" s="1"/>
  <c r="K421" i="1" a="1"/>
  <c r="K421" i="1" s="1"/>
  <c r="K422" i="1" a="1"/>
  <c r="K422" i="1" s="1"/>
  <c r="K423" i="1" a="1"/>
  <c r="K423" i="1" s="1"/>
  <c r="K424" i="1" a="1"/>
  <c r="K424" i="1" s="1"/>
  <c r="K425" i="1" a="1"/>
  <c r="K425" i="1" s="1"/>
  <c r="K426" i="1" a="1"/>
  <c r="K426" i="1" s="1"/>
  <c r="K427" i="1" a="1"/>
  <c r="K427" i="1" s="1"/>
  <c r="K428" i="1" a="1"/>
  <c r="K428" i="1" s="1"/>
  <c r="K429" i="1" a="1"/>
  <c r="K429" i="1" s="1"/>
  <c r="K430" i="1" a="1"/>
  <c r="K430" i="1" s="1"/>
  <c r="K431" i="1" a="1"/>
  <c r="K431" i="1" s="1"/>
  <c r="K432" i="1" a="1"/>
  <c r="K432" i="1" s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6" i="1" a="1"/>
  <c r="K446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 s="1"/>
  <c r="K455" i="1" a="1"/>
  <c r="K455" i="1" s="1"/>
  <c r="K456" i="1" a="1"/>
  <c r="K456" i="1" s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 s="1"/>
  <c r="K463" i="1" a="1"/>
  <c r="K463" i="1" s="1"/>
  <c r="K464" i="1" a="1"/>
  <c r="K464" i="1" s="1"/>
  <c r="K465" i="1" a="1"/>
  <c r="K465" i="1" s="1"/>
  <c r="K466" i="1" a="1"/>
  <c r="K466" i="1" s="1"/>
  <c r="K467" i="1" a="1"/>
  <c r="K467" i="1" s="1"/>
  <c r="K468" i="1" a="1"/>
  <c r="K468" i="1" s="1"/>
  <c r="K469" i="1" a="1"/>
  <c r="K469" i="1" s="1"/>
  <c r="K470" i="1" a="1"/>
  <c r="K470" i="1" s="1"/>
  <c r="K471" i="1" a="1"/>
  <c r="K471" i="1" s="1"/>
  <c r="K472" i="1" a="1"/>
  <c r="K472" i="1" s="1"/>
  <c r="K473" i="1" a="1"/>
  <c r="K473" i="1" s="1"/>
  <c r="K474" i="1" a="1"/>
  <c r="K474" i="1" s="1"/>
  <c r="K475" i="1" a="1"/>
  <c r="K475" i="1" s="1"/>
  <c r="K476" i="1" a="1"/>
  <c r="K476" i="1" s="1"/>
  <c r="K477" i="1" a="1"/>
  <c r="K477" i="1" s="1"/>
  <c r="K478" i="1" a="1"/>
  <c r="K478" i="1" s="1"/>
  <c r="K479" i="1" a="1"/>
  <c r="K479" i="1" s="1"/>
  <c r="K480" i="1" a="1"/>
  <c r="K480" i="1" s="1"/>
  <c r="K481" i="1" a="1"/>
  <c r="K481" i="1" s="1"/>
  <c r="K482" i="1" a="1"/>
  <c r="K482" i="1" s="1"/>
  <c r="K483" i="1" a="1"/>
  <c r="K483" i="1" s="1"/>
  <c r="K484" i="1" a="1"/>
  <c r="K484" i="1" s="1"/>
  <c r="K485" i="1" a="1"/>
  <c r="K485" i="1" s="1"/>
  <c r="K486" i="1" a="1"/>
  <c r="K486" i="1" s="1"/>
  <c r="K487" i="1" a="1"/>
  <c r="K487" i="1" s="1"/>
  <c r="K488" i="1" a="1"/>
  <c r="K488" i="1" s="1"/>
  <c r="K489" i="1" a="1"/>
  <c r="K489" i="1" s="1"/>
  <c r="K490" i="1" a="1"/>
  <c r="K490" i="1" s="1"/>
  <c r="K491" i="1" a="1"/>
  <c r="K491" i="1" s="1"/>
  <c r="K492" i="1" a="1"/>
  <c r="K492" i="1" s="1"/>
  <c r="K493" i="1" a="1"/>
  <c r="K493" i="1" s="1"/>
  <c r="K494" i="1" a="1"/>
  <c r="K494" i="1" s="1"/>
  <c r="K495" i="1" a="1"/>
  <c r="K495" i="1" s="1"/>
  <c r="K496" i="1" a="1"/>
  <c r="K496" i="1" s="1"/>
  <c r="K497" i="1" a="1"/>
  <c r="K497" i="1" s="1"/>
  <c r="K498" i="1" a="1"/>
  <c r="K498" i="1" s="1"/>
  <c r="K499" i="1" a="1"/>
  <c r="K499" i="1" s="1"/>
  <c r="K500" i="1" a="1"/>
  <c r="K500" i="1" s="1"/>
  <c r="K501" i="1" a="1"/>
  <c r="K501" i="1" s="1"/>
  <c r="K502" i="1" a="1"/>
  <c r="K502" i="1" s="1"/>
  <c r="K503" i="1" a="1"/>
  <c r="K503" i="1" s="1"/>
  <c r="K504" i="1" a="1"/>
  <c r="K504" i="1" s="1"/>
  <c r="K505" i="1" a="1"/>
  <c r="K505" i="1" s="1"/>
  <c r="K506" i="1" a="1"/>
  <c r="K506" i="1" s="1"/>
  <c r="K507" i="1" a="1"/>
  <c r="K507" i="1" s="1"/>
  <c r="K508" i="1" a="1"/>
  <c r="K508" i="1" s="1"/>
  <c r="K509" i="1" a="1"/>
  <c r="K509" i="1" s="1"/>
  <c r="K510" i="1" a="1"/>
  <c r="K510" i="1" s="1"/>
  <c r="K511" i="1" a="1"/>
  <c r="K511" i="1" s="1"/>
  <c r="K512" i="1" a="1"/>
  <c r="K512" i="1" s="1"/>
  <c r="K513" i="1" a="1"/>
  <c r="K513" i="1" s="1"/>
  <c r="K514" i="1" a="1"/>
  <c r="K514" i="1" s="1"/>
  <c r="K515" i="1" a="1"/>
  <c r="K515" i="1" s="1"/>
  <c r="K516" i="1" a="1"/>
  <c r="K516" i="1" s="1"/>
  <c r="K517" i="1" a="1"/>
  <c r="K517" i="1" s="1"/>
  <c r="K518" i="1" a="1"/>
  <c r="K518" i="1" s="1"/>
  <c r="K519" i="1" a="1"/>
  <c r="K519" i="1" s="1"/>
  <c r="K520" i="1" a="1"/>
  <c r="K520" i="1" s="1"/>
  <c r="K521" i="1" a="1"/>
  <c r="K521" i="1" s="1"/>
  <c r="K522" i="1" a="1"/>
  <c r="K522" i="1" s="1"/>
  <c r="K523" i="1" a="1"/>
  <c r="K523" i="1" s="1"/>
  <c r="K524" i="1" a="1"/>
  <c r="K524" i="1" s="1"/>
  <c r="K525" i="1" a="1"/>
  <c r="K525" i="1" s="1"/>
  <c r="K526" i="1" a="1"/>
  <c r="K526" i="1" s="1"/>
  <c r="K527" i="1" a="1"/>
  <c r="K527" i="1" s="1"/>
  <c r="K528" i="1" a="1"/>
  <c r="K528" i="1" s="1"/>
  <c r="K529" i="1" a="1"/>
  <c r="K529" i="1" s="1"/>
  <c r="K530" i="1" a="1"/>
  <c r="K530" i="1" s="1"/>
  <c r="K531" i="1" a="1"/>
  <c r="K531" i="1" s="1"/>
  <c r="K532" i="1" a="1"/>
  <c r="K532" i="1" s="1"/>
  <c r="K533" i="1" a="1"/>
  <c r="K533" i="1" s="1"/>
  <c r="K534" i="1" a="1"/>
  <c r="K534" i="1" s="1"/>
  <c r="K535" i="1" a="1"/>
  <c r="K535" i="1" s="1"/>
  <c r="K536" i="1" a="1"/>
  <c r="K536" i="1" s="1"/>
  <c r="K537" i="1" a="1"/>
  <c r="K537" i="1" s="1"/>
  <c r="K538" i="1" a="1"/>
  <c r="K538" i="1" s="1"/>
  <c r="K539" i="1" a="1"/>
  <c r="K539" i="1" s="1"/>
  <c r="K540" i="1" a="1"/>
  <c r="K540" i="1" s="1"/>
  <c r="K541" i="1" a="1"/>
  <c r="K541" i="1" s="1"/>
  <c r="K542" i="1" a="1"/>
  <c r="K542" i="1" s="1"/>
  <c r="K543" i="1" a="1"/>
  <c r="K543" i="1" s="1"/>
  <c r="K544" i="1" a="1"/>
  <c r="K544" i="1" s="1"/>
  <c r="K545" i="1" a="1"/>
  <c r="K545" i="1" s="1"/>
  <c r="K546" i="1" a="1"/>
  <c r="K546" i="1" s="1"/>
  <c r="K547" i="1" a="1"/>
  <c r="K547" i="1" s="1"/>
  <c r="K548" i="1" a="1"/>
  <c r="K548" i="1" s="1"/>
  <c r="K549" i="1" a="1"/>
  <c r="K549" i="1" s="1"/>
  <c r="K550" i="1" a="1"/>
  <c r="K550" i="1" s="1"/>
  <c r="K551" i="1" a="1"/>
  <c r="K551" i="1" s="1"/>
  <c r="K552" i="1" a="1"/>
  <c r="K552" i="1" s="1"/>
  <c r="K553" i="1" a="1"/>
  <c r="K553" i="1" s="1"/>
  <c r="K554" i="1" a="1"/>
  <c r="K554" i="1" s="1"/>
  <c r="K555" i="1" a="1"/>
  <c r="K555" i="1" s="1"/>
  <c r="K556" i="1" a="1"/>
  <c r="K556" i="1" s="1"/>
  <c r="K557" i="1" a="1"/>
  <c r="K557" i="1" s="1"/>
  <c r="K558" i="1" a="1"/>
  <c r="K558" i="1" s="1"/>
  <c r="K559" i="1" a="1"/>
  <c r="K559" i="1" s="1"/>
  <c r="K560" i="1" a="1"/>
  <c r="K560" i="1" s="1"/>
  <c r="K561" i="1" a="1"/>
  <c r="K561" i="1" s="1"/>
  <c r="K562" i="1" a="1"/>
  <c r="K562" i="1" s="1"/>
  <c r="K563" i="1" a="1"/>
  <c r="K563" i="1" s="1"/>
  <c r="K564" i="1" a="1"/>
  <c r="K564" i="1" s="1"/>
  <c r="K565" i="1" a="1"/>
  <c r="K565" i="1" s="1"/>
  <c r="K566" i="1" a="1"/>
  <c r="K566" i="1" s="1"/>
  <c r="K567" i="1" a="1"/>
  <c r="K567" i="1" s="1"/>
  <c r="K568" i="1" a="1"/>
  <c r="K568" i="1" s="1"/>
  <c r="K569" i="1" a="1"/>
  <c r="K569" i="1" s="1"/>
  <c r="K570" i="1" a="1"/>
  <c r="K570" i="1" s="1"/>
  <c r="K571" i="1" a="1"/>
  <c r="K571" i="1" s="1"/>
  <c r="K572" i="1" a="1"/>
  <c r="K572" i="1" s="1"/>
  <c r="K573" i="1" a="1"/>
  <c r="K573" i="1" s="1"/>
  <c r="K574" i="1" a="1"/>
  <c r="K574" i="1" s="1"/>
  <c r="K575" i="1" a="1"/>
  <c r="K575" i="1" s="1"/>
  <c r="K576" i="1" a="1"/>
  <c r="K576" i="1" s="1"/>
  <c r="K577" i="1" a="1"/>
  <c r="K577" i="1" s="1"/>
  <c r="K578" i="1" a="1"/>
  <c r="K578" i="1" s="1"/>
  <c r="K579" i="1" a="1"/>
  <c r="K579" i="1" s="1"/>
  <c r="K580" i="1" a="1"/>
  <c r="K580" i="1" s="1"/>
  <c r="K581" i="1" a="1"/>
  <c r="K581" i="1" s="1"/>
  <c r="K582" i="1" a="1"/>
  <c r="K582" i="1" s="1"/>
  <c r="K583" i="1" a="1"/>
  <c r="K583" i="1" s="1"/>
  <c r="K584" i="1" a="1"/>
  <c r="K584" i="1" s="1"/>
  <c r="K585" i="1" a="1"/>
  <c r="K585" i="1" s="1"/>
  <c r="K586" i="1" a="1"/>
  <c r="K586" i="1" s="1"/>
  <c r="K587" i="1" a="1"/>
  <c r="K587" i="1" s="1"/>
  <c r="K588" i="1" a="1"/>
  <c r="K588" i="1" s="1"/>
  <c r="K589" i="1" a="1"/>
  <c r="K589" i="1" s="1"/>
  <c r="K590" i="1" a="1"/>
  <c r="K590" i="1" s="1"/>
  <c r="K591" i="1" a="1"/>
  <c r="K591" i="1" s="1"/>
  <c r="K592" i="1" a="1"/>
  <c r="K592" i="1" s="1"/>
  <c r="K593" i="1" a="1"/>
  <c r="K593" i="1" s="1"/>
  <c r="K594" i="1" a="1"/>
  <c r="K594" i="1" s="1"/>
  <c r="K595" i="1" a="1"/>
  <c r="K595" i="1" s="1"/>
  <c r="K596" i="1" a="1"/>
  <c r="K596" i="1" s="1"/>
  <c r="K597" i="1" a="1"/>
  <c r="K597" i="1" s="1"/>
  <c r="K598" i="1" a="1"/>
  <c r="K598" i="1" s="1"/>
  <c r="K599" i="1" a="1"/>
  <c r="K599" i="1" s="1"/>
  <c r="K600" i="1" a="1"/>
  <c r="K600" i="1" s="1"/>
  <c r="K601" i="1" a="1"/>
  <c r="K601" i="1" s="1"/>
  <c r="K602" i="1" a="1"/>
  <c r="K602" i="1" s="1"/>
  <c r="K2" i="1" a="1"/>
  <c r="K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<sst xmlns="http://schemas.openxmlformats.org/spreadsheetml/2006/main" count="1921" uniqueCount="674">
  <si>
    <t>LN-00001</t>
  </si>
  <si>
    <t>Vacation</t>
  </si>
  <si>
    <t>Self-Employed</t>
  </si>
  <si>
    <t>LN-00002</t>
  </si>
  <si>
    <t>Major Purchase</t>
  </si>
  <si>
    <t>LN-00003</t>
  </si>
  <si>
    <t>Moving</t>
  </si>
  <si>
    <t>Full-Time</t>
  </si>
  <si>
    <t>LN-00004</t>
  </si>
  <si>
    <t>Auto Loan</t>
  </si>
  <si>
    <t>Contract</t>
  </si>
  <si>
    <t>LN-00005</t>
  </si>
  <si>
    <t>LN-00006</t>
  </si>
  <si>
    <t>Education</t>
  </si>
  <si>
    <t>LN-00007</t>
  </si>
  <si>
    <t>Medical Expenses</t>
  </si>
  <si>
    <t>LN-00008</t>
  </si>
  <si>
    <t>Home Improvement</t>
  </si>
  <si>
    <t>LN-00009</t>
  </si>
  <si>
    <t>Business Loan</t>
  </si>
  <si>
    <t>LN-00010</t>
  </si>
  <si>
    <t>Debt Consolidation</t>
  </si>
  <si>
    <t>LN-00011</t>
  </si>
  <si>
    <t>Part-Time</t>
  </si>
  <si>
    <t>LN-00012</t>
  </si>
  <si>
    <t>LN-00013</t>
  </si>
  <si>
    <t>Wedding</t>
  </si>
  <si>
    <t>LN-00014</t>
  </si>
  <si>
    <t>LN-00015</t>
  </si>
  <si>
    <t>Retired</t>
  </si>
  <si>
    <t>LN-00016</t>
  </si>
  <si>
    <t>LN-00017</t>
  </si>
  <si>
    <t>LN-00018</t>
  </si>
  <si>
    <t>LN-00019</t>
  </si>
  <si>
    <t>LN-00020</t>
  </si>
  <si>
    <t>LN-00021</t>
  </si>
  <si>
    <t>LN-00022</t>
  </si>
  <si>
    <t>LN-00023</t>
  </si>
  <si>
    <t>LN-00024</t>
  </si>
  <si>
    <t>LN-00025</t>
  </si>
  <si>
    <t>LN-00026</t>
  </si>
  <si>
    <t>LN-00027</t>
  </si>
  <si>
    <t>LN-00028</t>
  </si>
  <si>
    <t>LN-00029</t>
  </si>
  <si>
    <t>LN-00030</t>
  </si>
  <si>
    <t>LN-00031</t>
  </si>
  <si>
    <t>LN-00032</t>
  </si>
  <si>
    <t>LN-00033</t>
  </si>
  <si>
    <t>LN-00034</t>
  </si>
  <si>
    <t>LN-00035</t>
  </si>
  <si>
    <t>LN-00036</t>
  </si>
  <si>
    <t>LN-00037</t>
  </si>
  <si>
    <t>LN-00038</t>
  </si>
  <si>
    <t>LN-00039</t>
  </si>
  <si>
    <t>LN-00040</t>
  </si>
  <si>
    <t>LN-00041</t>
  </si>
  <si>
    <t>LN-00042</t>
  </si>
  <si>
    <t>LN-00043</t>
  </si>
  <si>
    <t>LN-00044</t>
  </si>
  <si>
    <t>LN-00045</t>
  </si>
  <si>
    <t>LN-00046</t>
  </si>
  <si>
    <t>LN-00047</t>
  </si>
  <si>
    <t>LN-00048</t>
  </si>
  <si>
    <t>LN-00049</t>
  </si>
  <si>
    <t>LN-00050</t>
  </si>
  <si>
    <t>LN-00051</t>
  </si>
  <si>
    <t>LN-00052</t>
  </si>
  <si>
    <t>LN-00053</t>
  </si>
  <si>
    <t>LN-00054</t>
  </si>
  <si>
    <t>LN-00055</t>
  </si>
  <si>
    <t>LN-00056</t>
  </si>
  <si>
    <t>LN-00057</t>
  </si>
  <si>
    <t>LN-00058</t>
  </si>
  <si>
    <t>LN-00059</t>
  </si>
  <si>
    <t>LN-00060</t>
  </si>
  <si>
    <t>LN-00061</t>
  </si>
  <si>
    <t>LN-00062</t>
  </si>
  <si>
    <t>LN-00063</t>
  </si>
  <si>
    <t>LN-00064</t>
  </si>
  <si>
    <t>LN-00065</t>
  </si>
  <si>
    <t>LN-00066</t>
  </si>
  <si>
    <t>LN-00067</t>
  </si>
  <si>
    <t>LN-00068</t>
  </si>
  <si>
    <t>LN-00069</t>
  </si>
  <si>
    <t>LN-00070</t>
  </si>
  <si>
    <t>LN-00071</t>
  </si>
  <si>
    <t>LN-00072</t>
  </si>
  <si>
    <t>LN-00073</t>
  </si>
  <si>
    <t>LN-00074</t>
  </si>
  <si>
    <t>LN-00075</t>
  </si>
  <si>
    <t>LN-00076</t>
  </si>
  <si>
    <t>LN-00077</t>
  </si>
  <si>
    <t>LN-00078</t>
  </si>
  <si>
    <t>LN-00079</t>
  </si>
  <si>
    <t>LN-00080</t>
  </si>
  <si>
    <t>LN-00081</t>
  </si>
  <si>
    <t>LN-00082</t>
  </si>
  <si>
    <t>LN-00083</t>
  </si>
  <si>
    <t>LN-00084</t>
  </si>
  <si>
    <t>LN-00085</t>
  </si>
  <si>
    <t>LN-00086</t>
  </si>
  <si>
    <t>LN-00087</t>
  </si>
  <si>
    <t>LN-00088</t>
  </si>
  <si>
    <t>LN-00089</t>
  </si>
  <si>
    <t>LN-00090</t>
  </si>
  <si>
    <t>LN-00091</t>
  </si>
  <si>
    <t>LN-00092</t>
  </si>
  <si>
    <t>LN-00093</t>
  </si>
  <si>
    <t>LN-00094</t>
  </si>
  <si>
    <t>LN-00095</t>
  </si>
  <si>
    <t>LN-00096</t>
  </si>
  <si>
    <t>LN-00097</t>
  </si>
  <si>
    <t>LN-00098</t>
  </si>
  <si>
    <t>LN-00099</t>
  </si>
  <si>
    <t>LN-00100</t>
  </si>
  <si>
    <t>LN-00101</t>
  </si>
  <si>
    <t>LN-00102</t>
  </si>
  <si>
    <t>LN-00103</t>
  </si>
  <si>
    <t>LN-00104</t>
  </si>
  <si>
    <t>LN-00105</t>
  </si>
  <si>
    <t>LN-00106</t>
  </si>
  <si>
    <t>LN-00107</t>
  </si>
  <si>
    <t>LN-00108</t>
  </si>
  <si>
    <t>LN-00109</t>
  </si>
  <si>
    <t>LN-00110</t>
  </si>
  <si>
    <t>LN-00111</t>
  </si>
  <si>
    <t>LN-00112</t>
  </si>
  <si>
    <t>LN-00113</t>
  </si>
  <si>
    <t>LN-00114</t>
  </si>
  <si>
    <t>LN-00115</t>
  </si>
  <si>
    <t>LN-00116</t>
  </si>
  <si>
    <t>LN-00117</t>
  </si>
  <si>
    <t>LN-00118</t>
  </si>
  <si>
    <t>LN-00119</t>
  </si>
  <si>
    <t>LN-00120</t>
  </si>
  <si>
    <t>LN-00121</t>
  </si>
  <si>
    <t>LN-00122</t>
  </si>
  <si>
    <t>LN-00123</t>
  </si>
  <si>
    <t>LN-00124</t>
  </si>
  <si>
    <t>LN-00125</t>
  </si>
  <si>
    <t>LN-00126</t>
  </si>
  <si>
    <t>LN-00127</t>
  </si>
  <si>
    <t>LN-00128</t>
  </si>
  <si>
    <t>LN-00129</t>
  </si>
  <si>
    <t>LN-00130</t>
  </si>
  <si>
    <t>LN-00131</t>
  </si>
  <si>
    <t>LN-00132</t>
  </si>
  <si>
    <t>LN-00133</t>
  </si>
  <si>
    <t>LN-00134</t>
  </si>
  <si>
    <t>LN-00135</t>
  </si>
  <si>
    <t>LN-00136</t>
  </si>
  <si>
    <t>LN-00137</t>
  </si>
  <si>
    <t>LN-00138</t>
  </si>
  <si>
    <t>LN-00139</t>
  </si>
  <si>
    <t>LN-00140</t>
  </si>
  <si>
    <t>LN-00141</t>
  </si>
  <si>
    <t>LN-00142</t>
  </si>
  <si>
    <t>LN-00143</t>
  </si>
  <si>
    <t>LN-00144</t>
  </si>
  <si>
    <t>LN-00145</t>
  </si>
  <si>
    <t>LN-00146</t>
  </si>
  <si>
    <t>LN-00147</t>
  </si>
  <si>
    <t>LN-00148</t>
  </si>
  <si>
    <t>LN-00149</t>
  </si>
  <si>
    <t>LN-00150</t>
  </si>
  <si>
    <t>LN-00151</t>
  </si>
  <si>
    <t>LN-00152</t>
  </si>
  <si>
    <t>LN-00153</t>
  </si>
  <si>
    <t>LN-00154</t>
  </si>
  <si>
    <t>LN-00155</t>
  </si>
  <si>
    <t>LN-00156</t>
  </si>
  <si>
    <t>LN-00157</t>
  </si>
  <si>
    <t>LN-00158</t>
  </si>
  <si>
    <t>LN-00159</t>
  </si>
  <si>
    <t>LN-00160</t>
  </si>
  <si>
    <t>LN-00161</t>
  </si>
  <si>
    <t>LN-00162</t>
  </si>
  <si>
    <t>LN-00163</t>
  </si>
  <si>
    <t>LN-00164</t>
  </si>
  <si>
    <t>LN-00165</t>
  </si>
  <si>
    <t>LN-00166</t>
  </si>
  <si>
    <t>LN-00167</t>
  </si>
  <si>
    <t>LN-00168</t>
  </si>
  <si>
    <t>LN-00169</t>
  </si>
  <si>
    <t>LN-00170</t>
  </si>
  <si>
    <t>LN-00171</t>
  </si>
  <si>
    <t>LN-00172</t>
  </si>
  <si>
    <t>LN-00173</t>
  </si>
  <si>
    <t>LN-00174</t>
  </si>
  <si>
    <t>LN-00175</t>
  </si>
  <si>
    <t>LN-00176</t>
  </si>
  <si>
    <t>LN-00177</t>
  </si>
  <si>
    <t>LN-00178</t>
  </si>
  <si>
    <t>LN-00179</t>
  </si>
  <si>
    <t>LN-00180</t>
  </si>
  <si>
    <t>LN-00181</t>
  </si>
  <si>
    <t>LN-00182</t>
  </si>
  <si>
    <t>LN-00183</t>
  </si>
  <si>
    <t>LN-00184</t>
  </si>
  <si>
    <t>LN-00185</t>
  </si>
  <si>
    <t>LN-00186</t>
  </si>
  <si>
    <t>LN-00187</t>
  </si>
  <si>
    <t>LN-00188</t>
  </si>
  <si>
    <t>LN-00189</t>
  </si>
  <si>
    <t>LN-00190</t>
  </si>
  <si>
    <t>LN-00191</t>
  </si>
  <si>
    <t>LN-00192</t>
  </si>
  <si>
    <t>LN-00193</t>
  </si>
  <si>
    <t>LN-00194</t>
  </si>
  <si>
    <t>LN-00195</t>
  </si>
  <si>
    <t>LN-00196</t>
  </si>
  <si>
    <t>LN-00197</t>
  </si>
  <si>
    <t>LN-00198</t>
  </si>
  <si>
    <t>LN-00199</t>
  </si>
  <si>
    <t>LN-00200</t>
  </si>
  <si>
    <t>LN-00201</t>
  </si>
  <si>
    <t>LN-00202</t>
  </si>
  <si>
    <t>LN-00203</t>
  </si>
  <si>
    <t>LN-00204</t>
  </si>
  <si>
    <t>LN-00205</t>
  </si>
  <si>
    <t>LN-00206</t>
  </si>
  <si>
    <t>LN-00207</t>
  </si>
  <si>
    <t>LN-00208</t>
  </si>
  <si>
    <t>LN-00209</t>
  </si>
  <si>
    <t>LN-00210</t>
  </si>
  <si>
    <t>LN-00211</t>
  </si>
  <si>
    <t>LN-00212</t>
  </si>
  <si>
    <t>LN-00213</t>
  </si>
  <si>
    <t>LN-00214</t>
  </si>
  <si>
    <t>LN-00215</t>
  </si>
  <si>
    <t>LN-00216</t>
  </si>
  <si>
    <t>LN-00217</t>
  </si>
  <si>
    <t>LN-00218</t>
  </si>
  <si>
    <t>LN-00219</t>
  </si>
  <si>
    <t>LN-00220</t>
  </si>
  <si>
    <t>LN-00221</t>
  </si>
  <si>
    <t>LN-00222</t>
  </si>
  <si>
    <t>LN-00223</t>
  </si>
  <si>
    <t>LN-00224</t>
  </si>
  <si>
    <t>LN-00225</t>
  </si>
  <si>
    <t>LN-00226</t>
  </si>
  <si>
    <t>LN-00227</t>
  </si>
  <si>
    <t>LN-00228</t>
  </si>
  <si>
    <t>LN-00229</t>
  </si>
  <si>
    <t>LN-00230</t>
  </si>
  <si>
    <t>LN-00231</t>
  </si>
  <si>
    <t>LN-00232</t>
  </si>
  <si>
    <t>LN-00233</t>
  </si>
  <si>
    <t>LN-00234</t>
  </si>
  <si>
    <t>LN-00235</t>
  </si>
  <si>
    <t>LN-00236</t>
  </si>
  <si>
    <t>LN-00237</t>
  </si>
  <si>
    <t>LN-00238</t>
  </si>
  <si>
    <t>LN-00239</t>
  </si>
  <si>
    <t>LN-00240</t>
  </si>
  <si>
    <t>LN-00241</t>
  </si>
  <si>
    <t>LN-00242</t>
  </si>
  <si>
    <t>LN-00243</t>
  </si>
  <si>
    <t>LN-00244</t>
  </si>
  <si>
    <t>LN-00245</t>
  </si>
  <si>
    <t>LN-00246</t>
  </si>
  <si>
    <t>LN-00247</t>
  </si>
  <si>
    <t>LN-00248</t>
  </si>
  <si>
    <t>LN-00249</t>
  </si>
  <si>
    <t>LN-00250</t>
  </si>
  <si>
    <t>LN-00251</t>
  </si>
  <si>
    <t>LN-00252</t>
  </si>
  <si>
    <t>LN-00253</t>
  </si>
  <si>
    <t>LN-00254</t>
  </si>
  <si>
    <t>LN-00255</t>
  </si>
  <si>
    <t>LN-00256</t>
  </si>
  <si>
    <t>LN-00257</t>
  </si>
  <si>
    <t>LN-00258</t>
  </si>
  <si>
    <t>LN-00259</t>
  </si>
  <si>
    <t>LN-00260</t>
  </si>
  <si>
    <t>LN-00261</t>
  </si>
  <si>
    <t>LN-00262</t>
  </si>
  <si>
    <t>LN-00263</t>
  </si>
  <si>
    <t>LN-00264</t>
  </si>
  <si>
    <t>LN-00265</t>
  </si>
  <si>
    <t>LN-00266</t>
  </si>
  <si>
    <t>LN-00267</t>
  </si>
  <si>
    <t>LN-00268</t>
  </si>
  <si>
    <t>LN-00269</t>
  </si>
  <si>
    <t>LN-00270</t>
  </si>
  <si>
    <t>LN-00271</t>
  </si>
  <si>
    <t>LN-00272</t>
  </si>
  <si>
    <t>LN-00273</t>
  </si>
  <si>
    <t>LN-00274</t>
  </si>
  <si>
    <t>LN-00275</t>
  </si>
  <si>
    <t>LN-00276</t>
  </si>
  <si>
    <t>LN-00277</t>
  </si>
  <si>
    <t>LN-00278</t>
  </si>
  <si>
    <t>LN-00279</t>
  </si>
  <si>
    <t>LN-00280</t>
  </si>
  <si>
    <t>LN-00281</t>
  </si>
  <si>
    <t>LN-00282</t>
  </si>
  <si>
    <t>LN-00283</t>
  </si>
  <si>
    <t>LN-00284</t>
  </si>
  <si>
    <t>LN-00285</t>
  </si>
  <si>
    <t>LN-00286</t>
  </si>
  <si>
    <t>LN-00287</t>
  </si>
  <si>
    <t>LN-00288</t>
  </si>
  <si>
    <t>LN-00289</t>
  </si>
  <si>
    <t>LN-00290</t>
  </si>
  <si>
    <t>LN-00291</t>
  </si>
  <si>
    <t>LN-00292</t>
  </si>
  <si>
    <t>LN-00293</t>
  </si>
  <si>
    <t>LN-00294</t>
  </si>
  <si>
    <t>LN-00295</t>
  </si>
  <si>
    <t>LN-00296</t>
  </si>
  <si>
    <t>LN-00297</t>
  </si>
  <si>
    <t>LN-00298</t>
  </si>
  <si>
    <t>LN-00299</t>
  </si>
  <si>
    <t>LN-00300</t>
  </si>
  <si>
    <t>LN-00301</t>
  </si>
  <si>
    <t>LN-00302</t>
  </si>
  <si>
    <t>LN-00303</t>
  </si>
  <si>
    <t>LN-00304</t>
  </si>
  <si>
    <t>LN-00305</t>
  </si>
  <si>
    <t>LN-00306</t>
  </si>
  <si>
    <t>LN-00307</t>
  </si>
  <si>
    <t>LN-00308</t>
  </si>
  <si>
    <t>LN-00309</t>
  </si>
  <si>
    <t>LN-00310</t>
  </si>
  <si>
    <t>LN-00311</t>
  </si>
  <si>
    <t>LN-00312</t>
  </si>
  <si>
    <t>LN-00313</t>
  </si>
  <si>
    <t>LN-00314</t>
  </si>
  <si>
    <t>LN-00315</t>
  </si>
  <si>
    <t>LN-00316</t>
  </si>
  <si>
    <t>LN-00317</t>
  </si>
  <si>
    <t>LN-00318</t>
  </si>
  <si>
    <t>LN-00319</t>
  </si>
  <si>
    <t>LN-00320</t>
  </si>
  <si>
    <t>LN-00321</t>
  </si>
  <si>
    <t>LN-00322</t>
  </si>
  <si>
    <t>LN-00323</t>
  </si>
  <si>
    <t>LN-00324</t>
  </si>
  <si>
    <t>LN-00325</t>
  </si>
  <si>
    <t>LN-00326</t>
  </si>
  <si>
    <t>LN-00327</t>
  </si>
  <si>
    <t>LN-00328</t>
  </si>
  <si>
    <t>LN-00329</t>
  </si>
  <si>
    <t>LN-00330</t>
  </si>
  <si>
    <t>LN-00331</t>
  </si>
  <si>
    <t>LN-00332</t>
  </si>
  <si>
    <t>LN-00333</t>
  </si>
  <si>
    <t>LN-00334</t>
  </si>
  <si>
    <t>LN-00335</t>
  </si>
  <si>
    <t>LN-00336</t>
  </si>
  <si>
    <t>LN-00337</t>
  </si>
  <si>
    <t>LN-00338</t>
  </si>
  <si>
    <t>LN-00339</t>
  </si>
  <si>
    <t>LN-00340</t>
  </si>
  <si>
    <t>LN-00341</t>
  </si>
  <si>
    <t>LN-00342</t>
  </si>
  <si>
    <t>LN-00343</t>
  </si>
  <si>
    <t>LN-00344</t>
  </si>
  <si>
    <t>LN-00345</t>
  </si>
  <si>
    <t>LN-00346</t>
  </si>
  <si>
    <t>LN-00347</t>
  </si>
  <si>
    <t>LN-00348</t>
  </si>
  <si>
    <t>LN-00349</t>
  </si>
  <si>
    <t>LN-00350</t>
  </si>
  <si>
    <t>LN-00351</t>
  </si>
  <si>
    <t>LN-00352</t>
  </si>
  <si>
    <t>LN-00353</t>
  </si>
  <si>
    <t>LN-00354</t>
  </si>
  <si>
    <t>LN-00355</t>
  </si>
  <si>
    <t>LN-00356</t>
  </si>
  <si>
    <t>LN-00357</t>
  </si>
  <si>
    <t>LN-00358</t>
  </si>
  <si>
    <t>LN-00359</t>
  </si>
  <si>
    <t>LN-00360</t>
  </si>
  <si>
    <t>LN-00361</t>
  </si>
  <si>
    <t>LN-00362</t>
  </si>
  <si>
    <t>LN-00363</t>
  </si>
  <si>
    <t>LN-00364</t>
  </si>
  <si>
    <t>LN-00365</t>
  </si>
  <si>
    <t>LN-00366</t>
  </si>
  <si>
    <t>LN-00367</t>
  </si>
  <si>
    <t>LN-00368</t>
  </si>
  <si>
    <t>LN-00369</t>
  </si>
  <si>
    <t>LN-00370</t>
  </si>
  <si>
    <t>LN-00371</t>
  </si>
  <si>
    <t>LN-00372</t>
  </si>
  <si>
    <t>LN-00373</t>
  </si>
  <si>
    <t>LN-00374</t>
  </si>
  <si>
    <t>LN-00375</t>
  </si>
  <si>
    <t>LN-00376</t>
  </si>
  <si>
    <t>LN-00377</t>
  </si>
  <si>
    <t>LN-00378</t>
  </si>
  <si>
    <t>LN-00379</t>
  </si>
  <si>
    <t>LN-00380</t>
  </si>
  <si>
    <t>LN-00381</t>
  </si>
  <si>
    <t>LN-00382</t>
  </si>
  <si>
    <t>LN-00383</t>
  </si>
  <si>
    <t>LN-00384</t>
  </si>
  <si>
    <t>LN-00385</t>
  </si>
  <si>
    <t>LN-00386</t>
  </si>
  <si>
    <t>LN-00387</t>
  </si>
  <si>
    <t>LN-00388</t>
  </si>
  <si>
    <t>LN-00389</t>
  </si>
  <si>
    <t>LN-00390</t>
  </si>
  <si>
    <t>LN-00391</t>
  </si>
  <si>
    <t>LN-00392</t>
  </si>
  <si>
    <t>LN-00393</t>
  </si>
  <si>
    <t>LN-00394</t>
  </si>
  <si>
    <t>LN-00395</t>
  </si>
  <si>
    <t>LN-00396</t>
  </si>
  <si>
    <t>LN-00397</t>
  </si>
  <si>
    <t>LN-00398</t>
  </si>
  <si>
    <t>LN-00399</t>
  </si>
  <si>
    <t>LN-00400</t>
  </si>
  <si>
    <t>LN-00401</t>
  </si>
  <si>
    <t>LN-00402</t>
  </si>
  <si>
    <t>LN-00403</t>
  </si>
  <si>
    <t>LN-00404</t>
  </si>
  <si>
    <t>LN-00405</t>
  </si>
  <si>
    <t>LN-00406</t>
  </si>
  <si>
    <t>LN-00407</t>
  </si>
  <si>
    <t>LN-00408</t>
  </si>
  <si>
    <t>LN-00409</t>
  </si>
  <si>
    <t>LN-00410</t>
  </si>
  <si>
    <t>LN-00411</t>
  </si>
  <si>
    <t>LN-00412</t>
  </si>
  <si>
    <t>LN-00413</t>
  </si>
  <si>
    <t>LN-00414</t>
  </si>
  <si>
    <t>LN-00415</t>
  </si>
  <si>
    <t>LN-00416</t>
  </si>
  <si>
    <t>LN-00417</t>
  </si>
  <si>
    <t>LN-00418</t>
  </si>
  <si>
    <t>LN-00419</t>
  </si>
  <si>
    <t>LN-00420</t>
  </si>
  <si>
    <t>LN-00421</t>
  </si>
  <si>
    <t>LN-00422</t>
  </si>
  <si>
    <t>LN-00423</t>
  </si>
  <si>
    <t>LN-00424</t>
  </si>
  <si>
    <t>LN-00425</t>
  </si>
  <si>
    <t>LN-00426</t>
  </si>
  <si>
    <t>LN-00427</t>
  </si>
  <si>
    <t>LN-00428</t>
  </si>
  <si>
    <t>LN-00429</t>
  </si>
  <si>
    <t>LN-00430</t>
  </si>
  <si>
    <t>LN-00431</t>
  </si>
  <si>
    <t>LN-00432</t>
  </si>
  <si>
    <t>LN-00433</t>
  </si>
  <si>
    <t>LN-00434</t>
  </si>
  <si>
    <t>LN-00435</t>
  </si>
  <si>
    <t>LN-00436</t>
  </si>
  <si>
    <t>LN-00437</t>
  </si>
  <si>
    <t>LN-00438</t>
  </si>
  <si>
    <t>LN-00439</t>
  </si>
  <si>
    <t>LN-00440</t>
  </si>
  <si>
    <t>LN-00441</t>
  </si>
  <si>
    <t>LN-00442</t>
  </si>
  <si>
    <t>LN-00443</t>
  </si>
  <si>
    <t>LN-00444</t>
  </si>
  <si>
    <t>LN-00445</t>
  </si>
  <si>
    <t>LN-00446</t>
  </si>
  <si>
    <t>LN-00447</t>
  </si>
  <si>
    <t>LN-00448</t>
  </si>
  <si>
    <t>LN-00449</t>
  </si>
  <si>
    <t>LN-00450</t>
  </si>
  <si>
    <t>LN-00451</t>
  </si>
  <si>
    <t>LN-00452</t>
  </si>
  <si>
    <t>LN-00453</t>
  </si>
  <si>
    <t>LN-00454</t>
  </si>
  <si>
    <t>LN-00455</t>
  </si>
  <si>
    <t>LN-00456</t>
  </si>
  <si>
    <t>LN-00457</t>
  </si>
  <si>
    <t>LN-00458</t>
  </si>
  <si>
    <t>LN-00459</t>
  </si>
  <si>
    <t>LN-00460</t>
  </si>
  <si>
    <t>LN-00461</t>
  </si>
  <si>
    <t>LN-00462</t>
  </si>
  <si>
    <t>LN-00463</t>
  </si>
  <si>
    <t>LN-00464</t>
  </si>
  <si>
    <t>LN-00465</t>
  </si>
  <si>
    <t>LN-00466</t>
  </si>
  <si>
    <t>LN-00467</t>
  </si>
  <si>
    <t>LN-00468</t>
  </si>
  <si>
    <t>LN-00469</t>
  </si>
  <si>
    <t>LN-00470</t>
  </si>
  <si>
    <t>LN-00471</t>
  </si>
  <si>
    <t>LN-00472</t>
  </si>
  <si>
    <t>LN-00473</t>
  </si>
  <si>
    <t>LN-00474</t>
  </si>
  <si>
    <t>LN-00475</t>
  </si>
  <si>
    <t>LN-00476</t>
  </si>
  <si>
    <t>LN-00477</t>
  </si>
  <si>
    <t>LN-00478</t>
  </si>
  <si>
    <t>LN-00479</t>
  </si>
  <si>
    <t>LN-00480</t>
  </si>
  <si>
    <t>LN-00481</t>
  </si>
  <si>
    <t>LN-00482</t>
  </si>
  <si>
    <t>LN-00483</t>
  </si>
  <si>
    <t>LN-00484</t>
  </si>
  <si>
    <t>LN-00485</t>
  </si>
  <si>
    <t>LN-00486</t>
  </si>
  <si>
    <t>LN-00487</t>
  </si>
  <si>
    <t>LN-00488</t>
  </si>
  <si>
    <t>LN-00489</t>
  </si>
  <si>
    <t>LN-00490</t>
  </si>
  <si>
    <t>LN-00491</t>
  </si>
  <si>
    <t>LN-00492</t>
  </si>
  <si>
    <t>LN-00493</t>
  </si>
  <si>
    <t>LN-00494</t>
  </si>
  <si>
    <t>LN-00495</t>
  </si>
  <si>
    <t>LN-00496</t>
  </si>
  <si>
    <t>LN-00497</t>
  </si>
  <si>
    <t>LN-00498</t>
  </si>
  <si>
    <t>LN-00499</t>
  </si>
  <si>
    <t>LN-00500</t>
  </si>
  <si>
    <t>LN-00501</t>
  </si>
  <si>
    <t>LN-00502</t>
  </si>
  <si>
    <t>LN-00503</t>
  </si>
  <si>
    <t>LN-00504</t>
  </si>
  <si>
    <t>LN-00505</t>
  </si>
  <si>
    <t>LN-00506</t>
  </si>
  <si>
    <t>LN-00507</t>
  </si>
  <si>
    <t>LN-00508</t>
  </si>
  <si>
    <t>LN-00509</t>
  </si>
  <si>
    <t>LN-00510</t>
  </si>
  <si>
    <t>LN-00511</t>
  </si>
  <si>
    <t>LN-00512</t>
  </si>
  <si>
    <t>LN-00513</t>
  </si>
  <si>
    <t>LN-00514</t>
  </si>
  <si>
    <t>LN-00515</t>
  </si>
  <si>
    <t>LN-00516</t>
  </si>
  <si>
    <t>LN-00517</t>
  </si>
  <si>
    <t>LN-00518</t>
  </si>
  <si>
    <t>LN-00519</t>
  </si>
  <si>
    <t>LN-00520</t>
  </si>
  <si>
    <t>LN-00521</t>
  </si>
  <si>
    <t>LN-00522</t>
  </si>
  <si>
    <t>LN-00523</t>
  </si>
  <si>
    <t>LN-00524</t>
  </si>
  <si>
    <t>LN-00525</t>
  </si>
  <si>
    <t>LN-00526</t>
  </si>
  <si>
    <t>LN-00527</t>
  </si>
  <si>
    <t>LN-00528</t>
  </si>
  <si>
    <t>LN-00529</t>
  </si>
  <si>
    <t>LN-00530</t>
  </si>
  <si>
    <t>LN-00531</t>
  </si>
  <si>
    <t>LN-00532</t>
  </si>
  <si>
    <t>LN-00533</t>
  </si>
  <si>
    <t>LN-00534</t>
  </si>
  <si>
    <t>LN-00535</t>
  </si>
  <si>
    <t>LN-00536</t>
  </si>
  <si>
    <t>LN-00537</t>
  </si>
  <si>
    <t>LN-00538</t>
  </si>
  <si>
    <t>LN-00539</t>
  </si>
  <si>
    <t>LN-00540</t>
  </si>
  <si>
    <t>LN-00541</t>
  </si>
  <si>
    <t>LN-00542</t>
  </si>
  <si>
    <t>LN-00543</t>
  </si>
  <si>
    <t>LN-00544</t>
  </si>
  <si>
    <t>LN-00545</t>
  </si>
  <si>
    <t>LN-00546</t>
  </si>
  <si>
    <t>LN-00547</t>
  </si>
  <si>
    <t>LN-00548</t>
  </si>
  <si>
    <t>LN-00549</t>
  </si>
  <si>
    <t>LN-00550</t>
  </si>
  <si>
    <t>LN-00551</t>
  </si>
  <si>
    <t>LN-00552</t>
  </si>
  <si>
    <t>LN-00553</t>
  </si>
  <si>
    <t>LN-00554</t>
  </si>
  <si>
    <t>LN-00555</t>
  </si>
  <si>
    <t>LN-00556</t>
  </si>
  <si>
    <t>LN-00557</t>
  </si>
  <si>
    <t>LN-00558</t>
  </si>
  <si>
    <t>LN-00559</t>
  </si>
  <si>
    <t>LN-00560</t>
  </si>
  <si>
    <t>LN-00561</t>
  </si>
  <si>
    <t>LN-00562</t>
  </si>
  <si>
    <t>LN-00563</t>
  </si>
  <si>
    <t>LN-00564</t>
  </si>
  <si>
    <t>LN-00565</t>
  </si>
  <si>
    <t>LN-00566</t>
  </si>
  <si>
    <t>LN-00567</t>
  </si>
  <si>
    <t>LN-00568</t>
  </si>
  <si>
    <t>LN-00569</t>
  </si>
  <si>
    <t>LN-00570</t>
  </si>
  <si>
    <t>LN-00571</t>
  </si>
  <si>
    <t>LN-00572</t>
  </si>
  <si>
    <t>LN-00573</t>
  </si>
  <si>
    <t>LN-00574</t>
  </si>
  <si>
    <t>LN-00575</t>
  </si>
  <si>
    <t>LN-00576</t>
  </si>
  <si>
    <t>LN-00577</t>
  </si>
  <si>
    <t>LN-00578</t>
  </si>
  <si>
    <t>LN-00579</t>
  </si>
  <si>
    <t>LN-00580</t>
  </si>
  <si>
    <t>LN-00581</t>
  </si>
  <si>
    <t>LN-00582</t>
  </si>
  <si>
    <t>LN-00583</t>
  </si>
  <si>
    <t>LN-00584</t>
  </si>
  <si>
    <t>LN-00585</t>
  </si>
  <si>
    <t>LN-00586</t>
  </si>
  <si>
    <t>LN-00587</t>
  </si>
  <si>
    <t>LN-00588</t>
  </si>
  <si>
    <t>LN-00589</t>
  </si>
  <si>
    <t>LN-00590</t>
  </si>
  <si>
    <t>LN-00591</t>
  </si>
  <si>
    <t>LN-00592</t>
  </si>
  <si>
    <t>LN-00593</t>
  </si>
  <si>
    <t>LN-00594</t>
  </si>
  <si>
    <t>LN-00595</t>
  </si>
  <si>
    <t>LN-00596</t>
  </si>
  <si>
    <t>LN-00597</t>
  </si>
  <si>
    <t>LN-00598</t>
  </si>
  <si>
    <t>LN-00599</t>
  </si>
  <si>
    <t>LN-00600</t>
  </si>
  <si>
    <t>LN-00601</t>
  </si>
  <si>
    <t>loan_id</t>
  </si>
  <si>
    <t>loan_purpose</t>
  </si>
  <si>
    <t>loan_amount</t>
  </si>
  <si>
    <t>interest_rate</t>
  </si>
  <si>
    <t>dti_ratio</t>
  </si>
  <si>
    <t>defaulted</t>
  </si>
  <si>
    <t>employment_status</t>
  </si>
  <si>
    <t>years_employed</t>
  </si>
  <si>
    <t>annual_income</t>
  </si>
  <si>
    <t>credit_score</t>
  </si>
  <si>
    <t>credit_score bucket</t>
  </si>
  <si>
    <t>tenure_group</t>
  </si>
  <si>
    <t xml:space="preserve">Total_loans </t>
  </si>
  <si>
    <t>Defaults</t>
  </si>
  <si>
    <t xml:space="preserve">default rate </t>
  </si>
  <si>
    <t>Dti_ratio2</t>
  </si>
  <si>
    <t>520-599</t>
  </si>
  <si>
    <t>600-649</t>
  </si>
  <si>
    <t>650-699</t>
  </si>
  <si>
    <t>700-749</t>
  </si>
  <si>
    <t>750+</t>
  </si>
  <si>
    <t>Grand Total</t>
  </si>
  <si>
    <t>Total loans</t>
  </si>
  <si>
    <t xml:space="preserve">Defaults </t>
  </si>
  <si>
    <t xml:space="preserve">Default rate </t>
  </si>
  <si>
    <t xml:space="preserve">Credit score </t>
  </si>
  <si>
    <t>Default rate</t>
  </si>
  <si>
    <t xml:space="preserve">Total loans </t>
  </si>
  <si>
    <t>Employment status</t>
  </si>
  <si>
    <t>Loan purpose</t>
  </si>
  <si>
    <t>2+ years</t>
  </si>
  <si>
    <t>Under 2 years</t>
  </si>
  <si>
    <t>Tenure group</t>
  </si>
  <si>
    <t>1. Under 20</t>
  </si>
  <si>
    <t>2. 20-29</t>
  </si>
  <si>
    <t>3. 30-39</t>
  </si>
  <si>
    <t>4. 40-49</t>
  </si>
  <si>
    <t>5. 50-59</t>
  </si>
  <si>
    <t>6. 60-69</t>
  </si>
  <si>
    <t>7. 70-79</t>
  </si>
  <si>
    <t>8. 80+</t>
  </si>
  <si>
    <t>Defaultes</t>
  </si>
  <si>
    <t>DTI_bucket</t>
  </si>
  <si>
    <t>Average of loan_amount</t>
  </si>
  <si>
    <t xml:space="preserve">Variable </t>
  </si>
  <si>
    <t>Correlation with default</t>
  </si>
  <si>
    <t>credit score</t>
  </si>
  <si>
    <t xml:space="preserve">intrest rate </t>
  </si>
  <si>
    <t>dti ratio</t>
  </si>
  <si>
    <t xml:space="preserve">annual income </t>
  </si>
  <si>
    <t xml:space="preserve">loan amount </t>
  </si>
  <si>
    <t>Target</t>
  </si>
  <si>
    <t>Credit score</t>
  </si>
  <si>
    <t>DTI range</t>
  </si>
  <si>
    <t>Company target</t>
  </si>
  <si>
    <t>Horizon Financial Group:credit risk analysis dashboard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</si>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</sst>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B42318"/>
      <name val="Aptos Narrow"/>
      <family val="2"/>
      <scheme val="minor"/>
    </font>
    <font>
      <sz val="11"/>
      <color rgb="FF1E7B4A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4"/>
      <color rgb="FFB42318"/>
      <name val="Aptos Narrow"/>
      <family val="2"/>
      <scheme val="minor"/>
    </font>
    <font>
      <b/>
      <sz val="24"/>
      <color rgb="FF1E7B4A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E3F4EA"/>
        <bgColor indexed="64"/>
      </patternFill>
    </fill>
    <fill>
      <patternFill patternType="solid">
        <fgColor rgb="FFE9EE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6" borderId="0" xfId="0" applyFill="1"/>
    <xf numFmtId="0" fontId="3" fillId="6" borderId="0" xfId="0" applyFont="1" applyFill="1"/>
    <xf numFmtId="0" fontId="4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9" fontId="7" fillId="5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0" borderId="0" xfId="0" applyFont="1"/>
  </cellXfs>
  <cellStyles count="2">
    <cellStyle name="Normal" xfId="0" builtinId="0"/>
    <cellStyle name="Per cent" xfId="1" builtinId="5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65" formatCode="0.000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</dxfs>
  <tableStyles count="0" defaultTableStyle="TableStyleMedium2" defaultPivotStyle="PivotStyleLight16"/>
  <colors>
    <mruColors>
      <color rgb="FFE3F4EA"/>
      <color rgb="FFFDE8E8"/>
      <color rgb="FFE9EEF5"/>
      <color rgb="FF1E7B4A"/>
      <color rgb="FFB42318"/>
      <color rgb="FF153D64"/>
      <color rgb="FF1F2937"/>
      <color rgb="FFF2F4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</a:t>
            </a:r>
            <a:r>
              <a:rPr lang="en-US" baseline="0"/>
              <a:t> rate by credit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520-599</c:v>
                </c:pt>
                <c:pt idx="1">
                  <c:v>600-649</c:v>
                </c:pt>
                <c:pt idx="2">
                  <c:v>650-699</c:v>
                </c:pt>
                <c:pt idx="3">
                  <c:v>700-749</c:v>
                </c:pt>
                <c:pt idx="4">
                  <c:v>750+</c:v>
                </c:pt>
              </c:strCache>
            </c:strRef>
          </c:cat>
          <c:val>
            <c:numRef>
              <c:f>charts!$B$2:$B$6</c:f>
              <c:numCache>
                <c:formatCode>0.0%</c:formatCode>
                <c:ptCount val="5"/>
                <c:pt idx="0">
                  <c:v>0.49137931034482757</c:v>
                </c:pt>
                <c:pt idx="1">
                  <c:v>0.29032258064516131</c:v>
                </c:pt>
                <c:pt idx="2">
                  <c:v>0.28000000000000003</c:v>
                </c:pt>
                <c:pt idx="3">
                  <c:v>0.16279069767441862</c:v>
                </c:pt>
                <c:pt idx="4">
                  <c:v>0.11688311688311688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D-48B0-A196-9CF43B45AFA9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520-599</c:v>
                </c:pt>
                <c:pt idx="1">
                  <c:v>600-649</c:v>
                </c:pt>
                <c:pt idx="2">
                  <c:v>650-699</c:v>
                </c:pt>
                <c:pt idx="3">
                  <c:v>700-749</c:v>
                </c:pt>
                <c:pt idx="4">
                  <c:v>750+</c:v>
                </c:pt>
              </c:strCache>
            </c:strRef>
          </c:cat>
          <c:val>
            <c:numRef>
              <c:f>charts!$C$2:$C$6</c:f>
              <c:numCache>
                <c:formatCode>0.0%</c:formatCode>
                <c:ptCount val="5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1D-48B0-A196-9CF43B45A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3596784"/>
        <c:axId val="423602064"/>
      </c:barChart>
      <c:catAx>
        <c:axId val="42359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Credit</a:t>
                </a:r>
                <a:r>
                  <a:rPr lang="en-US" baseline="0"/>
                  <a:t>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602064"/>
        <c:crosses val="autoZero"/>
        <c:auto val="1"/>
        <c:lblAlgn val="ctr"/>
        <c:lblOffset val="100"/>
        <c:noMultiLvlLbl val="0"/>
      </c:catAx>
      <c:valAx>
        <c:axId val="42360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Default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9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 by DTI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charts!$B$22</c:f>
              <c:strCache>
                <c:ptCount val="1"/>
                <c:pt idx="0">
                  <c:v>Default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charts!$A$23:$A$30</c:f>
              <c:strCache>
                <c:ptCount val="8"/>
                <c:pt idx="0">
                  <c:v>1. Under 20</c:v>
                </c:pt>
                <c:pt idx="1">
                  <c:v>2. 20-29</c:v>
                </c:pt>
                <c:pt idx="2">
                  <c:v>3. 30-39</c:v>
                </c:pt>
                <c:pt idx="3">
                  <c:v>4. 40-49</c:v>
                </c:pt>
                <c:pt idx="4">
                  <c:v>5. 50-59</c:v>
                </c:pt>
                <c:pt idx="5">
                  <c:v>6. 60-69</c:v>
                </c:pt>
                <c:pt idx="6">
                  <c:v>7. 70-79</c:v>
                </c:pt>
                <c:pt idx="7">
                  <c:v>8. 80+</c:v>
                </c:pt>
              </c:strCache>
            </c:strRef>
          </c:cat>
          <c:val>
            <c:numRef>
              <c:f>charts!$B$23:$B$30</c:f>
              <c:numCache>
                <c:formatCode>0.0%</c:formatCode>
                <c:ptCount val="8"/>
                <c:pt idx="0">
                  <c:v>0.16666666666666666</c:v>
                </c:pt>
                <c:pt idx="1">
                  <c:v>0.12820512820512819</c:v>
                </c:pt>
                <c:pt idx="2">
                  <c:v>0.11214953271028037</c:v>
                </c:pt>
                <c:pt idx="3">
                  <c:v>0.23711340206185566</c:v>
                </c:pt>
                <c:pt idx="4">
                  <c:v>0.31313131313131315</c:v>
                </c:pt>
                <c:pt idx="5">
                  <c:v>0.34210526315789475</c:v>
                </c:pt>
                <c:pt idx="6">
                  <c:v>0.38636363636363635</c:v>
                </c:pt>
                <c:pt idx="7">
                  <c:v>0.36538461538461536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8-48E5-BFA9-3E070382BB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2856352"/>
        <c:axId val="412854432"/>
      </c:barChart>
      <c:catAx>
        <c:axId val="412856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DTI</a:t>
                </a:r>
                <a:r>
                  <a:rPr lang="en-US" baseline="0"/>
                  <a:t> range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54432"/>
        <c:crosses val="autoZero"/>
        <c:auto val="1"/>
        <c:lblAlgn val="ctr"/>
        <c:lblOffset val="100"/>
        <c:noMultiLvlLbl val="0"/>
      </c:catAx>
      <c:valAx>
        <c:axId val="41285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Default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5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 by loan</a:t>
            </a:r>
            <a:r>
              <a:rPr lang="en-US" baseline="0"/>
              <a:t> purpose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charts!$B$42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charts!$A$43:$A$52</c:f>
              <c:strCache>
                <c:ptCount val="10"/>
                <c:pt idx="0">
                  <c:v>Auto Loan</c:v>
                </c:pt>
                <c:pt idx="1">
                  <c:v>Business Loan</c:v>
                </c:pt>
                <c:pt idx="2">
                  <c:v>Debt Consolidation</c:v>
                </c:pt>
                <c:pt idx="3">
                  <c:v>Education</c:v>
                </c:pt>
                <c:pt idx="4">
                  <c:v>Home Improvement</c:v>
                </c:pt>
                <c:pt idx="5">
                  <c:v>Major Purchase</c:v>
                </c:pt>
                <c:pt idx="6">
                  <c:v>Medical Expenses</c:v>
                </c:pt>
                <c:pt idx="7">
                  <c:v>Moving</c:v>
                </c:pt>
                <c:pt idx="8">
                  <c:v>Vacation</c:v>
                </c:pt>
                <c:pt idx="9">
                  <c:v>Wedding</c:v>
                </c:pt>
              </c:strCache>
            </c:strRef>
          </c:cat>
          <c:val>
            <c:numRef>
              <c:f>charts!$B$43:$B$52</c:f>
              <c:numCache>
                <c:formatCode>0.0%</c:formatCode>
                <c:ptCount val="10"/>
                <c:pt idx="0">
                  <c:v>0.2711864406779661</c:v>
                </c:pt>
                <c:pt idx="1">
                  <c:v>0.2413793103448276</c:v>
                </c:pt>
                <c:pt idx="2">
                  <c:v>0.21568627450980393</c:v>
                </c:pt>
                <c:pt idx="3">
                  <c:v>0.22641509433962265</c:v>
                </c:pt>
                <c:pt idx="4">
                  <c:v>0.2857142857142857</c:v>
                </c:pt>
                <c:pt idx="5">
                  <c:v>0.22058823529411764</c:v>
                </c:pt>
                <c:pt idx="6">
                  <c:v>0.20588235294117646</c:v>
                </c:pt>
                <c:pt idx="7">
                  <c:v>0.21428571428571427</c:v>
                </c:pt>
                <c:pt idx="8">
                  <c:v>0.22580645161290322</c:v>
                </c:pt>
                <c:pt idx="9">
                  <c:v>0.32142857142857145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3-4B1B-A839-7B1F685F4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0400752"/>
        <c:axId val="430402672"/>
      </c:barChart>
      <c:catAx>
        <c:axId val="430400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Loan</a:t>
                </a:r>
                <a:r>
                  <a:rPr lang="en-US" baseline="0"/>
                  <a:t> purpose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02672"/>
        <c:crosses val="autoZero"/>
        <c:auto val="1"/>
        <c:lblAlgn val="ctr"/>
        <c:lblOffset val="100"/>
        <c:noMultiLvlLbl val="0"/>
      </c:catAx>
      <c:valAx>
        <c:axId val="43040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Default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0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Default</a:t>
            </a:r>
            <a:r>
              <a:rPr lang="en-US" sz="1600" b="1" baseline="0"/>
              <a:t> rate by credit score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520-599</c:v>
                </c:pt>
                <c:pt idx="1">
                  <c:v>600-649</c:v>
                </c:pt>
                <c:pt idx="2">
                  <c:v>650-699</c:v>
                </c:pt>
                <c:pt idx="3">
                  <c:v>700-749</c:v>
                </c:pt>
                <c:pt idx="4">
                  <c:v>750+</c:v>
                </c:pt>
              </c:strCache>
            </c:strRef>
          </c:cat>
          <c:val>
            <c:numRef>
              <c:f>charts!$B$2:$B$6</c:f>
              <c:numCache>
                <c:formatCode>0.0%</c:formatCode>
                <c:ptCount val="5"/>
                <c:pt idx="0">
                  <c:v>0.49137931034482757</c:v>
                </c:pt>
                <c:pt idx="1">
                  <c:v>0.29032258064516131</c:v>
                </c:pt>
                <c:pt idx="2">
                  <c:v>0.28000000000000003</c:v>
                </c:pt>
                <c:pt idx="3">
                  <c:v>0.16279069767441862</c:v>
                </c:pt>
                <c:pt idx="4">
                  <c:v>0.11688311688311688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8-49A3-900E-883D737ED6C6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520-599</c:v>
                </c:pt>
                <c:pt idx="1">
                  <c:v>600-649</c:v>
                </c:pt>
                <c:pt idx="2">
                  <c:v>650-699</c:v>
                </c:pt>
                <c:pt idx="3">
                  <c:v>700-749</c:v>
                </c:pt>
                <c:pt idx="4">
                  <c:v>750+</c:v>
                </c:pt>
              </c:strCache>
            </c:strRef>
          </c:cat>
          <c:val>
            <c:numRef>
              <c:f>charts!$C$2:$C$6</c:f>
              <c:numCache>
                <c:formatCode>0.0%</c:formatCode>
                <c:ptCount val="5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D8-49A3-900E-883D737ED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3596784"/>
        <c:axId val="423602064"/>
      </c:barChart>
      <c:catAx>
        <c:axId val="42359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Credit</a:t>
                </a:r>
                <a:r>
                  <a:rPr lang="en-US" baseline="0"/>
                  <a:t>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602064"/>
        <c:crosses val="autoZero"/>
        <c:auto val="1"/>
        <c:lblAlgn val="ctr"/>
        <c:lblOffset val="100"/>
        <c:noMultiLvlLbl val="0"/>
      </c:catAx>
      <c:valAx>
        <c:axId val="42360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Default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9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 by DTI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charts!$B$22</c:f>
              <c:strCache>
                <c:ptCount val="1"/>
                <c:pt idx="0">
                  <c:v>Default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B4231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63-407A-B408-3D3EB536149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63-407A-B408-3D3EB536149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63-407A-B408-3D3EB536149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63-407A-B408-3D3EB536149A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B63-407A-B408-3D3EB53614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charts!$A$23:$A$30</c:f>
              <c:strCache>
                <c:ptCount val="8"/>
                <c:pt idx="0">
                  <c:v>1. Under 20</c:v>
                </c:pt>
                <c:pt idx="1">
                  <c:v>2. 20-29</c:v>
                </c:pt>
                <c:pt idx="2">
                  <c:v>3. 30-39</c:v>
                </c:pt>
                <c:pt idx="3">
                  <c:v>4. 40-49</c:v>
                </c:pt>
                <c:pt idx="4">
                  <c:v>5. 50-59</c:v>
                </c:pt>
                <c:pt idx="5">
                  <c:v>6. 60-69</c:v>
                </c:pt>
                <c:pt idx="6">
                  <c:v>7. 70-79</c:v>
                </c:pt>
                <c:pt idx="7">
                  <c:v>8. 80+</c:v>
                </c:pt>
              </c:strCache>
            </c:strRef>
          </c:cat>
          <c:val>
            <c:numRef>
              <c:f>charts!$B$23:$B$30</c:f>
              <c:numCache>
                <c:formatCode>0.0%</c:formatCode>
                <c:ptCount val="8"/>
                <c:pt idx="0">
                  <c:v>0.16666666666666666</c:v>
                </c:pt>
                <c:pt idx="1">
                  <c:v>0.12820512820512819</c:v>
                </c:pt>
                <c:pt idx="2">
                  <c:v>0.11214953271028037</c:v>
                </c:pt>
                <c:pt idx="3">
                  <c:v>0.23711340206185566</c:v>
                </c:pt>
                <c:pt idx="4">
                  <c:v>0.31313131313131315</c:v>
                </c:pt>
                <c:pt idx="5">
                  <c:v>0.34210526315789475</c:v>
                </c:pt>
                <c:pt idx="6">
                  <c:v>0.38636363636363635</c:v>
                </c:pt>
                <c:pt idx="7">
                  <c:v>0.36538461538461536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63-407A-B408-3D3EB53614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2856352"/>
        <c:axId val="412854432"/>
      </c:barChart>
      <c:catAx>
        <c:axId val="412856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DTI</a:t>
                </a:r>
                <a:r>
                  <a:rPr lang="en-US" baseline="0"/>
                  <a:t> range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54432"/>
        <c:crosses val="autoZero"/>
        <c:auto val="1"/>
        <c:lblAlgn val="ctr"/>
        <c:lblOffset val="100"/>
        <c:noMultiLvlLbl val="0"/>
      </c:catAx>
      <c:valAx>
        <c:axId val="41285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Default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5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Default rate by loan</a:t>
            </a:r>
            <a:r>
              <a:rPr lang="en-US" sz="1600" b="1" baseline="0"/>
              <a:t> purpose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charts!$B$42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charts!$A$43:$A$52</c:f>
              <c:strCache>
                <c:ptCount val="10"/>
                <c:pt idx="0">
                  <c:v>Auto Loan</c:v>
                </c:pt>
                <c:pt idx="1">
                  <c:v>Business Loan</c:v>
                </c:pt>
                <c:pt idx="2">
                  <c:v>Debt Consolidation</c:v>
                </c:pt>
                <c:pt idx="3">
                  <c:v>Education</c:v>
                </c:pt>
                <c:pt idx="4">
                  <c:v>Home Improvement</c:v>
                </c:pt>
                <c:pt idx="5">
                  <c:v>Major Purchase</c:v>
                </c:pt>
                <c:pt idx="6">
                  <c:v>Medical Expenses</c:v>
                </c:pt>
                <c:pt idx="7">
                  <c:v>Moving</c:v>
                </c:pt>
                <c:pt idx="8">
                  <c:v>Vacation</c:v>
                </c:pt>
                <c:pt idx="9">
                  <c:v>Wedding</c:v>
                </c:pt>
              </c:strCache>
            </c:strRef>
          </c:cat>
          <c:val>
            <c:numRef>
              <c:f>charts!$B$43:$B$52</c:f>
              <c:numCache>
                <c:formatCode>0.0%</c:formatCode>
                <c:ptCount val="10"/>
                <c:pt idx="0">
                  <c:v>0.2711864406779661</c:v>
                </c:pt>
                <c:pt idx="1">
                  <c:v>0.2413793103448276</c:v>
                </c:pt>
                <c:pt idx="2">
                  <c:v>0.21568627450980393</c:v>
                </c:pt>
                <c:pt idx="3">
                  <c:v>0.22641509433962265</c:v>
                </c:pt>
                <c:pt idx="4">
                  <c:v>0.2857142857142857</c:v>
                </c:pt>
                <c:pt idx="5">
                  <c:v>0.22058823529411764</c:v>
                </c:pt>
                <c:pt idx="6">
                  <c:v>0.20588235294117646</c:v>
                </c:pt>
                <c:pt idx="7">
                  <c:v>0.21428571428571427</c:v>
                </c:pt>
                <c:pt idx="8">
                  <c:v>0.22580645161290322</c:v>
                </c:pt>
                <c:pt idx="9">
                  <c:v>0.32142857142857145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9-489E-AB12-14657E63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0400752"/>
        <c:axId val="430402672"/>
      </c:barChart>
      <c:catAx>
        <c:axId val="430400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Loan</a:t>
                </a:r>
                <a:r>
                  <a:rPr lang="en-US" baseline="0"/>
                  <a:t> purpose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02672"/>
        <c:crosses val="autoZero"/>
        <c:auto val="1"/>
        <c:lblAlgn val="ctr"/>
        <c:lblOffset val="100"/>
        <c:noMultiLvlLbl val="0"/>
      </c:catAx>
      <c:valAx>
        <c:axId val="43040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Default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0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1</xdr:row>
      <xdr:rowOff>161925</xdr:rowOff>
    </xdr:from>
    <xdr:to>
      <xdr:col>13</xdr:col>
      <xdr:colOff>219075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91372-2077-35B1-3AEE-E3981D5E7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22</xdr:row>
      <xdr:rowOff>47625</xdr:rowOff>
    </xdr:from>
    <xdr:to>
      <xdr:col>13</xdr:col>
      <xdr:colOff>352425</xdr:colOff>
      <xdr:row>36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FF1E44F-23F6-BF24-4000-B723D5253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347662</xdr:colOff>
      <xdr:row>40</xdr:row>
      <xdr:rowOff>95250</xdr:rowOff>
    </xdr:from>
    <xdr:to>
      <xdr:col>12</xdr:col>
      <xdr:colOff>42862</xdr:colOff>
      <xdr:row>54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6601871-553D-DC23-E13F-520889BE4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0</xdr:rowOff>
    </xdr:from>
    <xdr:to>
      <xdr:col>10</xdr:col>
      <xdr:colOff>94193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D08E6F-62D9-4ADB-89D0-B050059D4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95250</xdr:colOff>
      <xdr:row>4</xdr:row>
      <xdr:rowOff>390525</xdr:rowOff>
    </xdr:from>
    <xdr:to>
      <xdr:col>18</xdr:col>
      <xdr:colOff>9525</xdr:colOff>
      <xdr:row>19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C149E4-3FC3-4A88-92D0-46863EF88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19</xdr:row>
      <xdr:rowOff>57150</xdr:rowOff>
    </xdr:from>
    <xdr:to>
      <xdr:col>18</xdr:col>
      <xdr:colOff>9525</xdr:colOff>
      <xdr:row>33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60B8B7-63E5-40B4-9353-869F096B2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18.94786064815" createdVersion="8" refreshedVersion="8" minRefreshableVersion="3" recordCount="601" xr:uid="{471043A1-F5F1-4C41-A2AF-422F2534D227}">
  <cacheSource type="worksheet">
    <worksheetSource name="Table1"/>
  </cacheSource>
  <cacheFields count="13">
    <cacheField name="loan_id" numFmtId="0">
      <sharedItems/>
    </cacheField>
    <cacheField name="loan_purpose" numFmtId="0">
      <sharedItems count="10">
        <s v="Vacation"/>
        <s v="Major Purchase"/>
        <s v="Moving"/>
        <s v="Auto Loan"/>
        <s v="Education"/>
        <s v="Medical Expenses"/>
        <s v="Home Improvement"/>
        <s v="Business Loan"/>
        <s v="Debt Consolidation"/>
        <s v="Wedding"/>
      </sharedItems>
    </cacheField>
    <cacheField name="loan_amount" numFmtId="0">
      <sharedItems containsSemiMixedTypes="0" containsString="0" containsNumber="1" containsInteger="1" minValue="2000" maxValue="49800"/>
    </cacheField>
    <cacheField name="interest_rate" numFmtId="0">
      <sharedItems containsSemiMixedTypes="0" containsString="0" containsNumber="1" minValue="5.86" maxValue="15.86"/>
    </cacheField>
    <cacheField name="dti_ratio" numFmtId="0">
      <sharedItems containsSemiMixedTypes="0" containsString="0" containsNumber="1" minValue="7.6" maxValue="177.4"/>
    </cacheField>
    <cacheField name="defaulted" numFmtId="0">
      <sharedItems containsSemiMixedTypes="0" containsString="0" containsNumber="1" containsInteger="1" minValue="0" maxValue="1" count="2">
        <n v="0"/>
        <n v="1"/>
      </sharedItems>
    </cacheField>
    <cacheField name="employment_status" numFmtId="0">
      <sharedItems count="5">
        <s v="Self-Employed"/>
        <s v="Full-Time"/>
        <s v="Contract"/>
        <s v="Part-Time"/>
        <s v="Retired"/>
      </sharedItems>
    </cacheField>
    <cacheField name="years_employed" numFmtId="0">
      <sharedItems containsSemiMixedTypes="0" containsString="0" containsNumber="1" containsInteger="1" minValue="0" maxValue="35"/>
    </cacheField>
    <cacheField name="annual_income" numFmtId="0">
      <sharedItems containsSemiMixedTypes="0" containsString="0" containsNumber="1" containsInteger="1" minValue="12549" maxValue="157047"/>
    </cacheField>
    <cacheField name="credit_score" numFmtId="0">
      <sharedItems containsSemiMixedTypes="0" containsString="0" containsNumber="1" containsInteger="1" minValue="528" maxValue="850"/>
    </cacheField>
    <cacheField name="credit_score bucket" numFmtId="0">
      <sharedItems count="5">
        <s v="520-599"/>
        <s v="600-649"/>
        <s v="700-749"/>
        <s v="750+"/>
        <s v="650-699"/>
      </sharedItems>
    </cacheField>
    <cacheField name="Dti_ratio2" numFmtId="0">
      <sharedItems count="8">
        <s v="5. 50-59"/>
        <s v="4. 40-49"/>
        <s v="7. 70-79"/>
        <s v="3. 30-39"/>
        <s v="6. 60-69"/>
        <s v="1. Under 20"/>
        <s v="8. 80+"/>
        <s v="2. 20-29"/>
      </sharedItems>
    </cacheField>
    <cacheField name="tenure_group" numFmtId="0">
      <sharedItems count="2">
        <s v="2+ years"/>
        <s v="Under 2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s v="LN-00001"/>
    <x v="0"/>
    <n v="16100"/>
    <n v="13.05"/>
    <n v="55.5"/>
    <x v="0"/>
    <x v="0"/>
    <n v="6"/>
    <n v="31020"/>
    <n v="596"/>
    <x v="0"/>
    <x v="0"/>
    <x v="0"/>
  </r>
  <r>
    <s v="LN-00002"/>
    <x v="1"/>
    <n v="5600"/>
    <n v="14.21"/>
    <n v="40.4"/>
    <x v="1"/>
    <x v="0"/>
    <n v="6"/>
    <n v="31020"/>
    <n v="596"/>
    <x v="0"/>
    <x v="1"/>
    <x v="0"/>
  </r>
  <r>
    <s v="LN-00003"/>
    <x v="2"/>
    <n v="44700"/>
    <n v="12.37"/>
    <n v="70.5"/>
    <x v="0"/>
    <x v="1"/>
    <n v="4"/>
    <n v="40188"/>
    <n v="543"/>
    <x v="0"/>
    <x v="2"/>
    <x v="0"/>
  </r>
  <r>
    <s v="LN-00004"/>
    <x v="3"/>
    <n v="9200"/>
    <n v="11.18"/>
    <n v="59.8"/>
    <x v="1"/>
    <x v="2"/>
    <n v="22"/>
    <n v="41014"/>
    <n v="611"/>
    <x v="1"/>
    <x v="0"/>
    <x v="0"/>
  </r>
  <r>
    <s v="LN-00005"/>
    <x v="2"/>
    <n v="11200"/>
    <n v="9.66"/>
    <n v="44.1"/>
    <x v="0"/>
    <x v="1"/>
    <n v="19"/>
    <n v="35036"/>
    <n v="701"/>
    <x v="2"/>
    <x v="1"/>
    <x v="0"/>
  </r>
  <r>
    <s v="LN-00006"/>
    <x v="4"/>
    <n v="28600"/>
    <n v="13.07"/>
    <n v="37.1"/>
    <x v="0"/>
    <x v="1"/>
    <n v="18"/>
    <n v="44528"/>
    <n v="715"/>
    <x v="2"/>
    <x v="3"/>
    <x v="0"/>
  </r>
  <r>
    <s v="LN-00007"/>
    <x v="5"/>
    <n v="39200"/>
    <n v="10.23"/>
    <n v="49.9"/>
    <x v="0"/>
    <x v="2"/>
    <n v="8"/>
    <n v="157047"/>
    <n v="749"/>
    <x v="2"/>
    <x v="1"/>
    <x v="0"/>
  </r>
  <r>
    <s v="LN-00008"/>
    <x v="6"/>
    <n v="36300"/>
    <n v="14.26"/>
    <n v="38.200000000000003"/>
    <x v="1"/>
    <x v="0"/>
    <n v="5"/>
    <n v="84210"/>
    <n v="576"/>
    <x v="0"/>
    <x v="3"/>
    <x v="0"/>
  </r>
  <r>
    <s v="LN-00009"/>
    <x v="7"/>
    <n v="39000"/>
    <n v="13.73"/>
    <n v="36.799999999999997"/>
    <x v="0"/>
    <x v="0"/>
    <n v="5"/>
    <n v="84210"/>
    <n v="576"/>
    <x v="0"/>
    <x v="3"/>
    <x v="0"/>
  </r>
  <r>
    <s v="LN-00010"/>
    <x v="8"/>
    <n v="28400"/>
    <n v="11.88"/>
    <n v="67.8"/>
    <x v="1"/>
    <x v="1"/>
    <n v="14"/>
    <n v="61289"/>
    <n v="563"/>
    <x v="0"/>
    <x v="4"/>
    <x v="0"/>
  </r>
  <r>
    <s v="LN-00011"/>
    <x v="7"/>
    <n v="13300"/>
    <n v="10.91"/>
    <n v="18.600000000000001"/>
    <x v="0"/>
    <x v="3"/>
    <n v="15"/>
    <n v="63908"/>
    <n v="643"/>
    <x v="1"/>
    <x v="5"/>
    <x v="0"/>
  </r>
  <r>
    <s v="LN-00012"/>
    <x v="7"/>
    <n v="2700"/>
    <n v="12.73"/>
    <n v="13.5"/>
    <x v="0"/>
    <x v="3"/>
    <n v="15"/>
    <n v="63908"/>
    <n v="643"/>
    <x v="1"/>
    <x v="5"/>
    <x v="0"/>
  </r>
  <r>
    <s v="LN-00013"/>
    <x v="9"/>
    <n v="15700"/>
    <n v="6.57"/>
    <n v="126"/>
    <x v="0"/>
    <x v="3"/>
    <n v="6"/>
    <n v="22845"/>
    <n v="824"/>
    <x v="3"/>
    <x v="6"/>
    <x v="0"/>
  </r>
  <r>
    <s v="LN-00014"/>
    <x v="2"/>
    <n v="38300"/>
    <n v="13.9"/>
    <n v="63.6"/>
    <x v="0"/>
    <x v="1"/>
    <n v="2"/>
    <n v="43606"/>
    <n v="586"/>
    <x v="0"/>
    <x v="4"/>
    <x v="0"/>
  </r>
  <r>
    <s v="LN-00015"/>
    <x v="0"/>
    <n v="28800"/>
    <n v="9.94"/>
    <n v="48.3"/>
    <x v="0"/>
    <x v="4"/>
    <n v="0"/>
    <n v="44614"/>
    <n v="813"/>
    <x v="3"/>
    <x v="1"/>
    <x v="1"/>
  </r>
  <r>
    <s v="LN-00016"/>
    <x v="0"/>
    <n v="23700"/>
    <n v="7.25"/>
    <n v="44.5"/>
    <x v="1"/>
    <x v="4"/>
    <n v="0"/>
    <n v="44614"/>
    <n v="813"/>
    <x v="3"/>
    <x v="1"/>
    <x v="1"/>
  </r>
  <r>
    <s v="LN-00017"/>
    <x v="2"/>
    <n v="2000"/>
    <n v="11.65"/>
    <n v="18.8"/>
    <x v="0"/>
    <x v="1"/>
    <n v="14"/>
    <n v="79782"/>
    <n v="615"/>
    <x v="1"/>
    <x v="5"/>
    <x v="0"/>
  </r>
  <r>
    <s v="LN-00018"/>
    <x v="9"/>
    <n v="34300"/>
    <n v="13.85"/>
    <n v="30.1"/>
    <x v="0"/>
    <x v="1"/>
    <n v="14"/>
    <n v="79782"/>
    <n v="615"/>
    <x v="1"/>
    <x v="3"/>
    <x v="0"/>
  </r>
  <r>
    <s v="LN-00019"/>
    <x v="4"/>
    <n v="17500"/>
    <n v="8.4499999999999993"/>
    <n v="41.4"/>
    <x v="1"/>
    <x v="1"/>
    <n v="19"/>
    <n v="63730"/>
    <n v="850"/>
    <x v="3"/>
    <x v="1"/>
    <x v="0"/>
  </r>
  <r>
    <s v="LN-00020"/>
    <x v="8"/>
    <n v="20600"/>
    <n v="11.24"/>
    <n v="52.5"/>
    <x v="0"/>
    <x v="0"/>
    <n v="9"/>
    <n v="74436"/>
    <n v="535"/>
    <x v="0"/>
    <x v="0"/>
    <x v="0"/>
  </r>
  <r>
    <s v="LN-00021"/>
    <x v="4"/>
    <n v="23100"/>
    <n v="15.15"/>
    <n v="88.1"/>
    <x v="0"/>
    <x v="1"/>
    <n v="2"/>
    <n v="55611"/>
    <n v="570"/>
    <x v="0"/>
    <x v="6"/>
    <x v="0"/>
  </r>
  <r>
    <s v="LN-00022"/>
    <x v="8"/>
    <n v="23300"/>
    <n v="13.03"/>
    <n v="69.400000000000006"/>
    <x v="0"/>
    <x v="1"/>
    <n v="8"/>
    <n v="41753"/>
    <n v="665"/>
    <x v="4"/>
    <x v="4"/>
    <x v="0"/>
  </r>
  <r>
    <s v="LN-00023"/>
    <x v="3"/>
    <n v="7200"/>
    <n v="8.39"/>
    <n v="18.899999999999999"/>
    <x v="0"/>
    <x v="0"/>
    <n v="28"/>
    <n v="66055"/>
    <n v="726"/>
    <x v="2"/>
    <x v="5"/>
    <x v="0"/>
  </r>
  <r>
    <s v="LN-00024"/>
    <x v="5"/>
    <n v="13700"/>
    <n v="15.03"/>
    <n v="112.8"/>
    <x v="0"/>
    <x v="3"/>
    <n v="2"/>
    <n v="23712"/>
    <n v="528"/>
    <x v="0"/>
    <x v="6"/>
    <x v="0"/>
  </r>
  <r>
    <s v="LN-00025"/>
    <x v="5"/>
    <n v="23300"/>
    <n v="12.02"/>
    <n v="62.4"/>
    <x v="0"/>
    <x v="1"/>
    <n v="17"/>
    <n v="45948"/>
    <n v="639"/>
    <x v="1"/>
    <x v="4"/>
    <x v="0"/>
  </r>
  <r>
    <s v="LN-00026"/>
    <x v="4"/>
    <n v="32400"/>
    <n v="13.31"/>
    <n v="60"/>
    <x v="1"/>
    <x v="2"/>
    <n v="13"/>
    <n v="70937"/>
    <n v="584"/>
    <x v="0"/>
    <x v="4"/>
    <x v="0"/>
  </r>
  <r>
    <s v="LN-00027"/>
    <x v="3"/>
    <n v="23700"/>
    <n v="10.27"/>
    <n v="51.7"/>
    <x v="0"/>
    <x v="2"/>
    <n v="13"/>
    <n v="70937"/>
    <n v="584"/>
    <x v="0"/>
    <x v="0"/>
    <x v="0"/>
  </r>
  <r>
    <s v="LN-00028"/>
    <x v="3"/>
    <n v="7400"/>
    <n v="12.65"/>
    <n v="29.2"/>
    <x v="0"/>
    <x v="3"/>
    <n v="6"/>
    <n v="24456"/>
    <n v="698"/>
    <x v="4"/>
    <x v="7"/>
    <x v="0"/>
  </r>
  <r>
    <s v="LN-00029"/>
    <x v="2"/>
    <n v="13600"/>
    <n v="9.14"/>
    <n v="25.9"/>
    <x v="0"/>
    <x v="3"/>
    <n v="6"/>
    <n v="24456"/>
    <n v="698"/>
    <x v="4"/>
    <x v="7"/>
    <x v="0"/>
  </r>
  <r>
    <s v="LN-00030"/>
    <x v="7"/>
    <n v="34200"/>
    <n v="10.17"/>
    <n v="87.7"/>
    <x v="0"/>
    <x v="1"/>
    <n v="12"/>
    <n v="72054"/>
    <n v="761"/>
    <x v="3"/>
    <x v="6"/>
    <x v="0"/>
  </r>
  <r>
    <s v="LN-00031"/>
    <x v="5"/>
    <n v="45200"/>
    <n v="11.41"/>
    <n v="54.1"/>
    <x v="0"/>
    <x v="1"/>
    <n v="12"/>
    <n v="72054"/>
    <n v="761"/>
    <x v="3"/>
    <x v="0"/>
    <x v="0"/>
  </r>
  <r>
    <s v="LN-00032"/>
    <x v="6"/>
    <n v="46200"/>
    <n v="10.72"/>
    <n v="47.5"/>
    <x v="0"/>
    <x v="4"/>
    <n v="10"/>
    <n v="80449"/>
    <n v="661"/>
    <x v="4"/>
    <x v="1"/>
    <x v="0"/>
  </r>
  <r>
    <s v="LN-00033"/>
    <x v="9"/>
    <n v="32400"/>
    <n v="7.65"/>
    <n v="58.9"/>
    <x v="1"/>
    <x v="1"/>
    <n v="2"/>
    <n v="36142"/>
    <n v="757"/>
    <x v="3"/>
    <x v="0"/>
    <x v="0"/>
  </r>
  <r>
    <s v="LN-00034"/>
    <x v="4"/>
    <n v="12400"/>
    <n v="14.05"/>
    <n v="58.7"/>
    <x v="0"/>
    <x v="1"/>
    <n v="34"/>
    <n v="54489"/>
    <n v="559"/>
    <x v="0"/>
    <x v="0"/>
    <x v="0"/>
  </r>
  <r>
    <s v="LN-00035"/>
    <x v="1"/>
    <n v="16400"/>
    <n v="8.51"/>
    <n v="53.8"/>
    <x v="0"/>
    <x v="1"/>
    <n v="5"/>
    <n v="59480"/>
    <n v="790"/>
    <x v="3"/>
    <x v="0"/>
    <x v="0"/>
  </r>
  <r>
    <s v="LN-00036"/>
    <x v="2"/>
    <n v="27100"/>
    <n v="8.64"/>
    <n v="65.3"/>
    <x v="0"/>
    <x v="4"/>
    <n v="1"/>
    <n v="46167"/>
    <n v="826"/>
    <x v="3"/>
    <x v="4"/>
    <x v="1"/>
  </r>
  <r>
    <s v="LN-00037"/>
    <x v="2"/>
    <n v="5400"/>
    <n v="10.5"/>
    <n v="29.3"/>
    <x v="1"/>
    <x v="1"/>
    <n v="8"/>
    <n v="116049"/>
    <n v="667"/>
    <x v="4"/>
    <x v="7"/>
    <x v="0"/>
  </r>
  <r>
    <s v="LN-00038"/>
    <x v="4"/>
    <n v="5500"/>
    <n v="14.25"/>
    <n v="77.2"/>
    <x v="0"/>
    <x v="3"/>
    <n v="0"/>
    <n v="23219"/>
    <n v="576"/>
    <x v="0"/>
    <x v="2"/>
    <x v="1"/>
  </r>
  <r>
    <s v="LN-00039"/>
    <x v="5"/>
    <n v="46400"/>
    <n v="7.45"/>
    <n v="42.1"/>
    <x v="0"/>
    <x v="1"/>
    <n v="5"/>
    <n v="68134"/>
    <n v="813"/>
    <x v="3"/>
    <x v="1"/>
    <x v="0"/>
  </r>
  <r>
    <s v="LN-00040"/>
    <x v="7"/>
    <n v="46500"/>
    <n v="10.02"/>
    <n v="37.5"/>
    <x v="0"/>
    <x v="0"/>
    <n v="16"/>
    <n v="72778"/>
    <n v="603"/>
    <x v="1"/>
    <x v="3"/>
    <x v="0"/>
  </r>
  <r>
    <s v="LN-00041"/>
    <x v="7"/>
    <n v="16200"/>
    <n v="8.58"/>
    <n v="58.8"/>
    <x v="0"/>
    <x v="0"/>
    <n v="8"/>
    <n v="53589"/>
    <n v="850"/>
    <x v="3"/>
    <x v="0"/>
    <x v="0"/>
  </r>
  <r>
    <s v="LN-00042"/>
    <x v="2"/>
    <n v="4300"/>
    <n v="9.34"/>
    <n v="30.9"/>
    <x v="1"/>
    <x v="2"/>
    <n v="2"/>
    <n v="43412"/>
    <n v="700"/>
    <x v="2"/>
    <x v="3"/>
    <x v="0"/>
  </r>
  <r>
    <s v="LN-00043"/>
    <x v="6"/>
    <n v="10500"/>
    <n v="12.65"/>
    <n v="36.799999999999997"/>
    <x v="0"/>
    <x v="2"/>
    <n v="2"/>
    <n v="43412"/>
    <n v="700"/>
    <x v="2"/>
    <x v="3"/>
    <x v="0"/>
  </r>
  <r>
    <s v="LN-00044"/>
    <x v="2"/>
    <n v="6800"/>
    <n v="12.32"/>
    <n v="18.399999999999999"/>
    <x v="1"/>
    <x v="1"/>
    <n v="34"/>
    <n v="45400"/>
    <n v="606"/>
    <x v="1"/>
    <x v="5"/>
    <x v="0"/>
  </r>
  <r>
    <s v="LN-00045"/>
    <x v="2"/>
    <n v="28900"/>
    <n v="10.1"/>
    <n v="79.599999999999994"/>
    <x v="1"/>
    <x v="1"/>
    <n v="34"/>
    <n v="45400"/>
    <n v="606"/>
    <x v="1"/>
    <x v="2"/>
    <x v="0"/>
  </r>
  <r>
    <s v="LN-00046"/>
    <x v="5"/>
    <n v="12800"/>
    <n v="13.96"/>
    <n v="32.200000000000003"/>
    <x v="0"/>
    <x v="1"/>
    <n v="5"/>
    <n v="55244"/>
    <n v="550"/>
    <x v="0"/>
    <x v="3"/>
    <x v="0"/>
  </r>
  <r>
    <s v="LN-00047"/>
    <x v="3"/>
    <n v="44700"/>
    <n v="14.32"/>
    <n v="93.8"/>
    <x v="1"/>
    <x v="1"/>
    <n v="15"/>
    <n v="107852"/>
    <n v="624"/>
    <x v="1"/>
    <x v="6"/>
    <x v="0"/>
  </r>
  <r>
    <s v="LN-00048"/>
    <x v="5"/>
    <n v="5900"/>
    <n v="12.11"/>
    <n v="29.4"/>
    <x v="0"/>
    <x v="4"/>
    <n v="1"/>
    <n v="29964"/>
    <n v="735"/>
    <x v="2"/>
    <x v="7"/>
    <x v="1"/>
  </r>
  <r>
    <s v="LN-00049"/>
    <x v="3"/>
    <n v="15100"/>
    <n v="8.41"/>
    <n v="36.5"/>
    <x v="0"/>
    <x v="4"/>
    <n v="1"/>
    <n v="29964"/>
    <n v="735"/>
    <x v="2"/>
    <x v="3"/>
    <x v="1"/>
  </r>
  <r>
    <s v="LN-00050"/>
    <x v="2"/>
    <n v="22600"/>
    <n v="10.199999999999999"/>
    <n v="26.2"/>
    <x v="0"/>
    <x v="1"/>
    <n v="2"/>
    <n v="124663"/>
    <n v="785"/>
    <x v="3"/>
    <x v="7"/>
    <x v="0"/>
  </r>
  <r>
    <s v="LN-00051"/>
    <x v="4"/>
    <n v="9000"/>
    <n v="12.63"/>
    <n v="65.400000000000006"/>
    <x v="0"/>
    <x v="1"/>
    <n v="22"/>
    <n v="52825"/>
    <n v="672"/>
    <x v="4"/>
    <x v="4"/>
    <x v="0"/>
  </r>
  <r>
    <s v="LN-00052"/>
    <x v="3"/>
    <n v="11000"/>
    <n v="10.24"/>
    <n v="39.299999999999997"/>
    <x v="0"/>
    <x v="1"/>
    <n v="18"/>
    <n v="137860"/>
    <n v="641"/>
    <x v="1"/>
    <x v="3"/>
    <x v="0"/>
  </r>
  <r>
    <s v="LN-00053"/>
    <x v="7"/>
    <n v="19200"/>
    <n v="9.99"/>
    <n v="39.1"/>
    <x v="0"/>
    <x v="1"/>
    <n v="18"/>
    <n v="137860"/>
    <n v="641"/>
    <x v="1"/>
    <x v="3"/>
    <x v="0"/>
  </r>
  <r>
    <s v="LN-00054"/>
    <x v="5"/>
    <n v="12900"/>
    <n v="10.39"/>
    <n v="10.9"/>
    <x v="0"/>
    <x v="1"/>
    <n v="3"/>
    <n v="106612"/>
    <n v="806"/>
    <x v="3"/>
    <x v="5"/>
    <x v="0"/>
  </r>
  <r>
    <s v="LN-00055"/>
    <x v="7"/>
    <n v="3900"/>
    <n v="13.92"/>
    <n v="41.3"/>
    <x v="0"/>
    <x v="4"/>
    <n v="11"/>
    <n v="24811"/>
    <n v="625"/>
    <x v="1"/>
    <x v="1"/>
    <x v="0"/>
  </r>
  <r>
    <s v="LN-00056"/>
    <x v="8"/>
    <n v="41600"/>
    <n v="10.34"/>
    <n v="31.5"/>
    <x v="0"/>
    <x v="0"/>
    <n v="26"/>
    <n v="80367"/>
    <n v="698"/>
    <x v="4"/>
    <x v="3"/>
    <x v="0"/>
  </r>
  <r>
    <s v="LN-00057"/>
    <x v="0"/>
    <n v="4000"/>
    <n v="12.11"/>
    <n v="7.6"/>
    <x v="0"/>
    <x v="1"/>
    <n v="19"/>
    <n v="88330"/>
    <n v="629"/>
    <x v="1"/>
    <x v="5"/>
    <x v="0"/>
  </r>
  <r>
    <s v="LN-00058"/>
    <x v="8"/>
    <n v="14400"/>
    <n v="12.3"/>
    <n v="38.700000000000003"/>
    <x v="0"/>
    <x v="0"/>
    <n v="14"/>
    <n v="57427"/>
    <n v="694"/>
    <x v="4"/>
    <x v="3"/>
    <x v="0"/>
  </r>
  <r>
    <s v="LN-00059"/>
    <x v="2"/>
    <n v="24300"/>
    <n v="6.29"/>
    <n v="28.8"/>
    <x v="0"/>
    <x v="1"/>
    <n v="5"/>
    <n v="82953"/>
    <n v="850"/>
    <x v="3"/>
    <x v="7"/>
    <x v="0"/>
  </r>
  <r>
    <s v="LN-00060"/>
    <x v="5"/>
    <n v="15600"/>
    <n v="6.86"/>
    <n v="64.900000000000006"/>
    <x v="0"/>
    <x v="1"/>
    <n v="13"/>
    <n v="57034"/>
    <n v="842"/>
    <x v="3"/>
    <x v="4"/>
    <x v="0"/>
  </r>
  <r>
    <s v="LN-00061"/>
    <x v="5"/>
    <n v="7900"/>
    <n v="13.28"/>
    <n v="53"/>
    <x v="1"/>
    <x v="1"/>
    <n v="10"/>
    <n v="88890"/>
    <n v="615"/>
    <x v="1"/>
    <x v="0"/>
    <x v="0"/>
  </r>
  <r>
    <s v="LN-00062"/>
    <x v="2"/>
    <n v="9700"/>
    <n v="8.32"/>
    <n v="13"/>
    <x v="0"/>
    <x v="1"/>
    <n v="7"/>
    <n v="123592"/>
    <n v="815"/>
    <x v="3"/>
    <x v="5"/>
    <x v="0"/>
  </r>
  <r>
    <s v="LN-00063"/>
    <x v="5"/>
    <n v="36200"/>
    <n v="7.37"/>
    <n v="53.3"/>
    <x v="0"/>
    <x v="0"/>
    <n v="5"/>
    <n v="139361"/>
    <n v="850"/>
    <x v="3"/>
    <x v="0"/>
    <x v="0"/>
  </r>
  <r>
    <s v="LN-00064"/>
    <x v="8"/>
    <n v="14100"/>
    <n v="12.22"/>
    <n v="43.4"/>
    <x v="0"/>
    <x v="2"/>
    <n v="30"/>
    <n v="69049"/>
    <n v="616"/>
    <x v="1"/>
    <x v="1"/>
    <x v="0"/>
  </r>
  <r>
    <s v="LN-00065"/>
    <x v="7"/>
    <n v="26200"/>
    <n v="11.78"/>
    <n v="48.8"/>
    <x v="0"/>
    <x v="2"/>
    <n v="30"/>
    <n v="69049"/>
    <n v="616"/>
    <x v="1"/>
    <x v="1"/>
    <x v="0"/>
  </r>
  <r>
    <s v="LN-00066"/>
    <x v="2"/>
    <n v="12000"/>
    <n v="9.39"/>
    <n v="18.600000000000001"/>
    <x v="1"/>
    <x v="1"/>
    <n v="15"/>
    <n v="68663"/>
    <n v="681"/>
    <x v="4"/>
    <x v="5"/>
    <x v="0"/>
  </r>
  <r>
    <s v="LN-00067"/>
    <x v="9"/>
    <n v="37700"/>
    <n v="11.09"/>
    <n v="72.599999999999994"/>
    <x v="1"/>
    <x v="0"/>
    <n v="6"/>
    <n v="62036"/>
    <n v="567"/>
    <x v="0"/>
    <x v="2"/>
    <x v="0"/>
  </r>
  <r>
    <s v="LN-00068"/>
    <x v="9"/>
    <n v="29000"/>
    <n v="14.5"/>
    <n v="14.8"/>
    <x v="0"/>
    <x v="0"/>
    <n v="27"/>
    <n v="100958"/>
    <n v="555"/>
    <x v="0"/>
    <x v="5"/>
    <x v="0"/>
  </r>
  <r>
    <s v="LN-00069"/>
    <x v="1"/>
    <n v="38400"/>
    <n v="7.84"/>
    <n v="63.1"/>
    <x v="1"/>
    <x v="1"/>
    <n v="17"/>
    <n v="70593"/>
    <n v="749"/>
    <x v="2"/>
    <x v="4"/>
    <x v="0"/>
  </r>
  <r>
    <s v="LN-00070"/>
    <x v="1"/>
    <n v="20500"/>
    <n v="8.67"/>
    <n v="27.8"/>
    <x v="0"/>
    <x v="1"/>
    <n v="25"/>
    <n v="30740"/>
    <n v="697"/>
    <x v="4"/>
    <x v="7"/>
    <x v="0"/>
  </r>
  <r>
    <s v="LN-00071"/>
    <x v="3"/>
    <n v="42700"/>
    <n v="13.49"/>
    <n v="36.299999999999997"/>
    <x v="0"/>
    <x v="2"/>
    <n v="5"/>
    <n v="78362"/>
    <n v="548"/>
    <x v="0"/>
    <x v="3"/>
    <x v="0"/>
  </r>
  <r>
    <s v="LN-00072"/>
    <x v="0"/>
    <n v="10600"/>
    <n v="12.03"/>
    <n v="17.7"/>
    <x v="0"/>
    <x v="2"/>
    <n v="5"/>
    <n v="78362"/>
    <n v="548"/>
    <x v="0"/>
    <x v="5"/>
    <x v="0"/>
  </r>
  <r>
    <s v="LN-00073"/>
    <x v="6"/>
    <n v="12000"/>
    <n v="12.84"/>
    <n v="52"/>
    <x v="1"/>
    <x v="1"/>
    <n v="8"/>
    <n v="61452"/>
    <n v="729"/>
    <x v="2"/>
    <x v="0"/>
    <x v="0"/>
  </r>
  <r>
    <s v="LN-00074"/>
    <x v="7"/>
    <n v="5200"/>
    <n v="9.4600000000000009"/>
    <n v="10.5"/>
    <x v="0"/>
    <x v="1"/>
    <n v="14"/>
    <n v="57596"/>
    <n v="709"/>
    <x v="2"/>
    <x v="5"/>
    <x v="0"/>
  </r>
  <r>
    <s v="LN-00075"/>
    <x v="4"/>
    <n v="29500"/>
    <n v="14.67"/>
    <n v="67.2"/>
    <x v="1"/>
    <x v="1"/>
    <n v="1"/>
    <n v="56348"/>
    <n v="608"/>
    <x v="1"/>
    <x v="4"/>
    <x v="1"/>
  </r>
  <r>
    <s v="LN-00076"/>
    <x v="0"/>
    <n v="40300"/>
    <n v="8.41"/>
    <n v="53.2"/>
    <x v="0"/>
    <x v="0"/>
    <n v="7"/>
    <n v="51304"/>
    <n v="840"/>
    <x v="3"/>
    <x v="0"/>
    <x v="0"/>
  </r>
  <r>
    <s v="LN-00077"/>
    <x v="1"/>
    <n v="4700"/>
    <n v="7.5"/>
    <n v="12.6"/>
    <x v="0"/>
    <x v="0"/>
    <n v="7"/>
    <n v="51304"/>
    <n v="840"/>
    <x v="3"/>
    <x v="5"/>
    <x v="0"/>
  </r>
  <r>
    <s v="LN-00078"/>
    <x v="4"/>
    <n v="5800"/>
    <n v="9.58"/>
    <n v="47.9"/>
    <x v="0"/>
    <x v="3"/>
    <n v="3"/>
    <n v="72879"/>
    <n v="727"/>
    <x v="2"/>
    <x v="1"/>
    <x v="0"/>
  </r>
  <r>
    <s v="LN-00079"/>
    <x v="9"/>
    <n v="15400"/>
    <n v="9.58"/>
    <n v="36"/>
    <x v="0"/>
    <x v="0"/>
    <n v="7"/>
    <n v="43333"/>
    <n v="837"/>
    <x v="3"/>
    <x v="3"/>
    <x v="0"/>
  </r>
  <r>
    <s v="LN-00080"/>
    <x v="4"/>
    <n v="47600"/>
    <n v="13.53"/>
    <n v="86.4"/>
    <x v="1"/>
    <x v="1"/>
    <n v="27"/>
    <n v="81913"/>
    <n v="546"/>
    <x v="0"/>
    <x v="6"/>
    <x v="0"/>
  </r>
  <r>
    <s v="LN-00081"/>
    <x v="7"/>
    <n v="23300"/>
    <n v="14.9"/>
    <n v="83.8"/>
    <x v="1"/>
    <x v="1"/>
    <n v="27"/>
    <n v="81913"/>
    <n v="546"/>
    <x v="0"/>
    <x v="6"/>
    <x v="0"/>
  </r>
  <r>
    <s v="LN-00082"/>
    <x v="2"/>
    <n v="16300"/>
    <n v="13.69"/>
    <n v="76.900000000000006"/>
    <x v="0"/>
    <x v="1"/>
    <n v="33"/>
    <n v="67726"/>
    <n v="625"/>
    <x v="1"/>
    <x v="2"/>
    <x v="0"/>
  </r>
  <r>
    <s v="LN-00083"/>
    <x v="0"/>
    <n v="43500"/>
    <n v="9.6"/>
    <n v="118.6"/>
    <x v="0"/>
    <x v="1"/>
    <n v="33"/>
    <n v="67726"/>
    <n v="625"/>
    <x v="1"/>
    <x v="6"/>
    <x v="0"/>
  </r>
  <r>
    <s v="LN-00084"/>
    <x v="8"/>
    <n v="25900"/>
    <n v="8.4499999999999993"/>
    <n v="40"/>
    <x v="0"/>
    <x v="2"/>
    <n v="15"/>
    <n v="78399"/>
    <n v="700"/>
    <x v="2"/>
    <x v="1"/>
    <x v="0"/>
  </r>
  <r>
    <s v="LN-00085"/>
    <x v="2"/>
    <n v="19800"/>
    <n v="8.23"/>
    <n v="51.2"/>
    <x v="0"/>
    <x v="0"/>
    <n v="20"/>
    <n v="62062"/>
    <n v="788"/>
    <x v="3"/>
    <x v="0"/>
    <x v="0"/>
  </r>
  <r>
    <s v="LN-00086"/>
    <x v="7"/>
    <n v="28400"/>
    <n v="11.71"/>
    <n v="39.700000000000003"/>
    <x v="0"/>
    <x v="0"/>
    <n v="16"/>
    <n v="78303"/>
    <n v="540"/>
    <x v="0"/>
    <x v="3"/>
    <x v="0"/>
  </r>
  <r>
    <s v="LN-00087"/>
    <x v="2"/>
    <n v="8200"/>
    <n v="11.25"/>
    <n v="27.5"/>
    <x v="0"/>
    <x v="0"/>
    <n v="28"/>
    <n v="110018"/>
    <n v="796"/>
    <x v="3"/>
    <x v="7"/>
    <x v="0"/>
  </r>
  <r>
    <s v="LN-00088"/>
    <x v="5"/>
    <n v="44800"/>
    <n v="9.81"/>
    <n v="37.6"/>
    <x v="0"/>
    <x v="0"/>
    <n v="28"/>
    <n v="110018"/>
    <n v="796"/>
    <x v="3"/>
    <x v="3"/>
    <x v="0"/>
  </r>
  <r>
    <s v="LN-00089"/>
    <x v="6"/>
    <n v="31800"/>
    <n v="9.57"/>
    <n v="56.6"/>
    <x v="0"/>
    <x v="3"/>
    <n v="11"/>
    <n v="28195"/>
    <n v="796"/>
    <x v="3"/>
    <x v="0"/>
    <x v="0"/>
  </r>
  <r>
    <s v="LN-00090"/>
    <x v="0"/>
    <n v="12900"/>
    <n v="9.09"/>
    <n v="36.200000000000003"/>
    <x v="0"/>
    <x v="3"/>
    <n v="11"/>
    <n v="28195"/>
    <n v="796"/>
    <x v="3"/>
    <x v="3"/>
    <x v="0"/>
  </r>
  <r>
    <s v="LN-00091"/>
    <x v="5"/>
    <n v="27200"/>
    <n v="11.88"/>
    <n v="70.400000000000006"/>
    <x v="1"/>
    <x v="1"/>
    <n v="20"/>
    <n v="34974"/>
    <n v="623"/>
    <x v="1"/>
    <x v="2"/>
    <x v="0"/>
  </r>
  <r>
    <s v="LN-00092"/>
    <x v="0"/>
    <n v="15500"/>
    <n v="9.64"/>
    <n v="29.3"/>
    <x v="0"/>
    <x v="1"/>
    <n v="9"/>
    <n v="62875"/>
    <n v="803"/>
    <x v="3"/>
    <x v="7"/>
    <x v="0"/>
  </r>
  <r>
    <s v="LN-00093"/>
    <x v="2"/>
    <n v="35700"/>
    <n v="11.14"/>
    <n v="74.900000000000006"/>
    <x v="1"/>
    <x v="1"/>
    <n v="1"/>
    <n v="41201"/>
    <n v="670"/>
    <x v="4"/>
    <x v="2"/>
    <x v="1"/>
  </r>
  <r>
    <s v="LN-00094"/>
    <x v="0"/>
    <n v="18400"/>
    <n v="8.11"/>
    <n v="56.7"/>
    <x v="0"/>
    <x v="1"/>
    <n v="18"/>
    <n v="129479"/>
    <n v="843"/>
    <x v="3"/>
    <x v="0"/>
    <x v="0"/>
  </r>
  <r>
    <s v="LN-00095"/>
    <x v="6"/>
    <n v="36200"/>
    <n v="7.99"/>
    <n v="21.1"/>
    <x v="0"/>
    <x v="1"/>
    <n v="15"/>
    <n v="125137"/>
    <n v="755"/>
    <x v="3"/>
    <x v="7"/>
    <x v="0"/>
  </r>
  <r>
    <s v="LN-00096"/>
    <x v="1"/>
    <n v="4900"/>
    <n v="10.19"/>
    <n v="45.4"/>
    <x v="0"/>
    <x v="1"/>
    <n v="26"/>
    <n v="75894"/>
    <n v="820"/>
    <x v="3"/>
    <x v="1"/>
    <x v="0"/>
  </r>
  <r>
    <s v="LN-00097"/>
    <x v="5"/>
    <n v="45400"/>
    <n v="11.14"/>
    <n v="92.5"/>
    <x v="0"/>
    <x v="1"/>
    <n v="9"/>
    <n v="95478"/>
    <n v="759"/>
    <x v="3"/>
    <x v="6"/>
    <x v="0"/>
  </r>
  <r>
    <s v="LN-00098"/>
    <x v="7"/>
    <n v="17200"/>
    <n v="13.11"/>
    <n v="37.799999999999997"/>
    <x v="0"/>
    <x v="1"/>
    <n v="5"/>
    <n v="45779"/>
    <n v="652"/>
    <x v="4"/>
    <x v="3"/>
    <x v="0"/>
  </r>
  <r>
    <s v="LN-00099"/>
    <x v="6"/>
    <n v="31400"/>
    <n v="10.79"/>
    <n v="58.2"/>
    <x v="0"/>
    <x v="1"/>
    <n v="29"/>
    <n v="58981"/>
    <n v="674"/>
    <x v="4"/>
    <x v="0"/>
    <x v="0"/>
  </r>
  <r>
    <s v="LN-00100"/>
    <x v="8"/>
    <n v="10800"/>
    <n v="9.32"/>
    <n v="51.4"/>
    <x v="0"/>
    <x v="1"/>
    <n v="29"/>
    <n v="58981"/>
    <n v="674"/>
    <x v="4"/>
    <x v="0"/>
    <x v="0"/>
  </r>
  <r>
    <s v="LN-00101"/>
    <x v="4"/>
    <n v="21500"/>
    <n v="12.93"/>
    <n v="59.3"/>
    <x v="1"/>
    <x v="2"/>
    <n v="34"/>
    <n v="53220"/>
    <n v="588"/>
    <x v="0"/>
    <x v="0"/>
    <x v="0"/>
  </r>
  <r>
    <s v="LN-00102"/>
    <x v="4"/>
    <n v="9400"/>
    <n v="6.99"/>
    <n v="51.6"/>
    <x v="0"/>
    <x v="0"/>
    <n v="2"/>
    <n v="43345"/>
    <n v="821"/>
    <x v="3"/>
    <x v="0"/>
    <x v="0"/>
  </r>
  <r>
    <s v="LN-00103"/>
    <x v="5"/>
    <n v="12500"/>
    <n v="15.13"/>
    <n v="18.7"/>
    <x v="0"/>
    <x v="1"/>
    <n v="13"/>
    <n v="45732"/>
    <n v="550"/>
    <x v="0"/>
    <x v="5"/>
    <x v="0"/>
  </r>
  <r>
    <s v="LN-00104"/>
    <x v="1"/>
    <n v="10900"/>
    <n v="8.84"/>
    <n v="41.2"/>
    <x v="0"/>
    <x v="3"/>
    <n v="2"/>
    <n v="74897"/>
    <n v="672"/>
    <x v="4"/>
    <x v="1"/>
    <x v="0"/>
  </r>
  <r>
    <s v="LN-00105"/>
    <x v="1"/>
    <n v="29700"/>
    <n v="13.69"/>
    <n v="80.2"/>
    <x v="0"/>
    <x v="3"/>
    <n v="2"/>
    <n v="74897"/>
    <n v="672"/>
    <x v="4"/>
    <x v="6"/>
    <x v="0"/>
  </r>
  <r>
    <s v="LN-00106"/>
    <x v="5"/>
    <n v="16200"/>
    <n v="9.39"/>
    <n v="63.7"/>
    <x v="0"/>
    <x v="3"/>
    <n v="2"/>
    <n v="24609"/>
    <n v="776"/>
    <x v="3"/>
    <x v="4"/>
    <x v="0"/>
  </r>
  <r>
    <s v="LN-00107"/>
    <x v="6"/>
    <n v="26700"/>
    <n v="9.31"/>
    <n v="33.299999999999997"/>
    <x v="0"/>
    <x v="0"/>
    <n v="12"/>
    <n v="42715"/>
    <n v="735"/>
    <x v="2"/>
    <x v="3"/>
    <x v="0"/>
  </r>
  <r>
    <s v="LN-00108"/>
    <x v="0"/>
    <n v="17900"/>
    <n v="15.64"/>
    <n v="29.3"/>
    <x v="1"/>
    <x v="1"/>
    <n v="8"/>
    <n v="120275"/>
    <n v="550"/>
    <x v="0"/>
    <x v="7"/>
    <x v="0"/>
  </r>
  <r>
    <s v="LN-00109"/>
    <x v="9"/>
    <n v="36900"/>
    <n v="7.79"/>
    <n v="45.9"/>
    <x v="0"/>
    <x v="0"/>
    <n v="8"/>
    <n v="53587"/>
    <n v="811"/>
    <x v="3"/>
    <x v="1"/>
    <x v="0"/>
  </r>
  <r>
    <s v="LN-00110"/>
    <x v="9"/>
    <n v="9100"/>
    <n v="12.34"/>
    <n v="26.5"/>
    <x v="1"/>
    <x v="3"/>
    <n v="2"/>
    <n v="50328"/>
    <n v="611"/>
    <x v="1"/>
    <x v="7"/>
    <x v="0"/>
  </r>
  <r>
    <s v="LN-00111"/>
    <x v="3"/>
    <n v="5100"/>
    <n v="11.3"/>
    <n v="32.200000000000003"/>
    <x v="0"/>
    <x v="1"/>
    <n v="4"/>
    <n v="93690"/>
    <n v="795"/>
    <x v="3"/>
    <x v="3"/>
    <x v="0"/>
  </r>
  <r>
    <s v="LN-00112"/>
    <x v="7"/>
    <n v="18700"/>
    <n v="7.86"/>
    <n v="94.1"/>
    <x v="0"/>
    <x v="3"/>
    <n v="32"/>
    <n v="25916"/>
    <n v="831"/>
    <x v="3"/>
    <x v="6"/>
    <x v="0"/>
  </r>
  <r>
    <s v="LN-00113"/>
    <x v="1"/>
    <n v="13400"/>
    <n v="14.78"/>
    <n v="65.599999999999994"/>
    <x v="1"/>
    <x v="0"/>
    <n v="9"/>
    <n v="41743"/>
    <n v="531"/>
    <x v="0"/>
    <x v="4"/>
    <x v="0"/>
  </r>
  <r>
    <s v="LN-00114"/>
    <x v="8"/>
    <n v="34300"/>
    <n v="11.41"/>
    <n v="142.30000000000001"/>
    <x v="1"/>
    <x v="0"/>
    <n v="9"/>
    <n v="41743"/>
    <n v="531"/>
    <x v="0"/>
    <x v="6"/>
    <x v="0"/>
  </r>
  <r>
    <s v="LN-00115"/>
    <x v="2"/>
    <n v="34800"/>
    <n v="10.54"/>
    <n v="65.2"/>
    <x v="0"/>
    <x v="1"/>
    <n v="24"/>
    <n v="96156"/>
    <n v="710"/>
    <x v="2"/>
    <x v="4"/>
    <x v="0"/>
  </r>
  <r>
    <s v="LN-00116"/>
    <x v="1"/>
    <n v="48200"/>
    <n v="11.12"/>
    <n v="80.8"/>
    <x v="0"/>
    <x v="1"/>
    <n v="10"/>
    <n v="90079"/>
    <n v="562"/>
    <x v="0"/>
    <x v="6"/>
    <x v="0"/>
  </r>
  <r>
    <s v="LN-00117"/>
    <x v="3"/>
    <n v="14100"/>
    <n v="12.06"/>
    <n v="32.200000000000003"/>
    <x v="0"/>
    <x v="0"/>
    <n v="8"/>
    <n v="67650"/>
    <n v="553"/>
    <x v="0"/>
    <x v="3"/>
    <x v="0"/>
  </r>
  <r>
    <s v="LN-00118"/>
    <x v="9"/>
    <n v="27000"/>
    <n v="12.35"/>
    <n v="32.6"/>
    <x v="0"/>
    <x v="0"/>
    <n v="8"/>
    <n v="67650"/>
    <n v="553"/>
    <x v="0"/>
    <x v="3"/>
    <x v="0"/>
  </r>
  <r>
    <s v="LN-00119"/>
    <x v="6"/>
    <n v="10300"/>
    <n v="11.29"/>
    <n v="61.8"/>
    <x v="1"/>
    <x v="2"/>
    <n v="13"/>
    <n v="22940"/>
    <n v="598"/>
    <x v="0"/>
    <x v="4"/>
    <x v="0"/>
  </r>
  <r>
    <s v="LN-00120"/>
    <x v="9"/>
    <n v="42100"/>
    <n v="11.56"/>
    <n v="68.099999999999994"/>
    <x v="1"/>
    <x v="0"/>
    <n v="17"/>
    <n v="59422"/>
    <n v="698"/>
    <x v="4"/>
    <x v="4"/>
    <x v="0"/>
  </r>
  <r>
    <s v="LN-00121"/>
    <x v="9"/>
    <n v="10900"/>
    <n v="9.31"/>
    <n v="72.8"/>
    <x v="0"/>
    <x v="1"/>
    <n v="18"/>
    <n v="60470"/>
    <n v="850"/>
    <x v="3"/>
    <x v="2"/>
    <x v="0"/>
  </r>
  <r>
    <s v="LN-00122"/>
    <x v="3"/>
    <n v="35200"/>
    <n v="9.82"/>
    <n v="42.6"/>
    <x v="1"/>
    <x v="1"/>
    <n v="1"/>
    <n v="68874"/>
    <n v="688"/>
    <x v="4"/>
    <x v="1"/>
    <x v="1"/>
  </r>
  <r>
    <s v="LN-00123"/>
    <x v="4"/>
    <n v="14400"/>
    <n v="10.52"/>
    <n v="49.3"/>
    <x v="0"/>
    <x v="1"/>
    <n v="5"/>
    <n v="42320"/>
    <n v="622"/>
    <x v="1"/>
    <x v="1"/>
    <x v="0"/>
  </r>
  <r>
    <s v="LN-00124"/>
    <x v="0"/>
    <n v="8000"/>
    <n v="6.93"/>
    <n v="52.7"/>
    <x v="0"/>
    <x v="3"/>
    <n v="8"/>
    <n v="30477"/>
    <n v="850"/>
    <x v="3"/>
    <x v="0"/>
    <x v="0"/>
  </r>
  <r>
    <s v="LN-00125"/>
    <x v="9"/>
    <n v="39300"/>
    <n v="12.63"/>
    <n v="88.9"/>
    <x v="0"/>
    <x v="1"/>
    <n v="18"/>
    <n v="68782"/>
    <n v="711"/>
    <x v="2"/>
    <x v="6"/>
    <x v="0"/>
  </r>
  <r>
    <s v="LN-00126"/>
    <x v="5"/>
    <n v="40800"/>
    <n v="9.25"/>
    <n v="65.900000000000006"/>
    <x v="0"/>
    <x v="1"/>
    <n v="12"/>
    <n v="39408"/>
    <n v="646"/>
    <x v="1"/>
    <x v="4"/>
    <x v="0"/>
  </r>
  <r>
    <s v="LN-00127"/>
    <x v="6"/>
    <n v="2200"/>
    <n v="6.79"/>
    <n v="50.9"/>
    <x v="0"/>
    <x v="0"/>
    <n v="0"/>
    <n v="95183"/>
    <n v="829"/>
    <x v="3"/>
    <x v="0"/>
    <x v="1"/>
  </r>
  <r>
    <s v="LN-00128"/>
    <x v="6"/>
    <n v="43000"/>
    <n v="6.59"/>
    <n v="66.8"/>
    <x v="0"/>
    <x v="0"/>
    <n v="0"/>
    <n v="95183"/>
    <n v="829"/>
    <x v="3"/>
    <x v="4"/>
    <x v="1"/>
  </r>
  <r>
    <s v="LN-00129"/>
    <x v="1"/>
    <n v="16300"/>
    <n v="13.45"/>
    <n v="45.3"/>
    <x v="0"/>
    <x v="1"/>
    <n v="20"/>
    <n v="123405"/>
    <n v="662"/>
    <x v="4"/>
    <x v="1"/>
    <x v="0"/>
  </r>
  <r>
    <s v="LN-00130"/>
    <x v="8"/>
    <n v="18500"/>
    <n v="7.03"/>
    <n v="32.6"/>
    <x v="1"/>
    <x v="1"/>
    <n v="2"/>
    <n v="46799"/>
    <n v="850"/>
    <x v="3"/>
    <x v="3"/>
    <x v="0"/>
  </r>
  <r>
    <s v="LN-00131"/>
    <x v="0"/>
    <n v="38600"/>
    <n v="14.52"/>
    <n v="49.5"/>
    <x v="1"/>
    <x v="1"/>
    <n v="3"/>
    <n v="48711"/>
    <n v="619"/>
    <x v="1"/>
    <x v="1"/>
    <x v="0"/>
  </r>
  <r>
    <s v="LN-00132"/>
    <x v="8"/>
    <n v="12200"/>
    <n v="9.2799999999999994"/>
    <n v="32.4"/>
    <x v="0"/>
    <x v="2"/>
    <n v="18"/>
    <n v="76648"/>
    <n v="781"/>
    <x v="3"/>
    <x v="3"/>
    <x v="0"/>
  </r>
  <r>
    <s v="LN-00133"/>
    <x v="0"/>
    <n v="17200"/>
    <n v="8.1"/>
    <n v="38"/>
    <x v="1"/>
    <x v="4"/>
    <n v="6"/>
    <n v="31605"/>
    <n v="728"/>
    <x v="2"/>
    <x v="3"/>
    <x v="0"/>
  </r>
  <r>
    <s v="LN-00134"/>
    <x v="6"/>
    <n v="10200"/>
    <n v="9.09"/>
    <n v="13.5"/>
    <x v="1"/>
    <x v="1"/>
    <n v="18"/>
    <n v="83526"/>
    <n v="674"/>
    <x v="4"/>
    <x v="5"/>
    <x v="0"/>
  </r>
  <r>
    <s v="LN-00135"/>
    <x v="6"/>
    <n v="22500"/>
    <n v="10.39"/>
    <n v="18.7"/>
    <x v="0"/>
    <x v="1"/>
    <n v="18"/>
    <n v="83526"/>
    <n v="674"/>
    <x v="4"/>
    <x v="5"/>
    <x v="0"/>
  </r>
  <r>
    <s v="LN-00136"/>
    <x v="5"/>
    <n v="6500"/>
    <n v="12.17"/>
    <n v="57.1"/>
    <x v="0"/>
    <x v="3"/>
    <n v="7"/>
    <n v="55425"/>
    <n v="697"/>
    <x v="4"/>
    <x v="0"/>
    <x v="0"/>
  </r>
  <r>
    <s v="LN-00137"/>
    <x v="8"/>
    <n v="16200"/>
    <n v="12.73"/>
    <n v="59.5"/>
    <x v="1"/>
    <x v="1"/>
    <n v="9"/>
    <n v="43493"/>
    <n v="549"/>
    <x v="0"/>
    <x v="0"/>
    <x v="0"/>
  </r>
  <r>
    <s v="LN-00138"/>
    <x v="6"/>
    <n v="4000"/>
    <n v="14.38"/>
    <n v="59.3"/>
    <x v="1"/>
    <x v="1"/>
    <n v="9"/>
    <n v="43493"/>
    <n v="549"/>
    <x v="0"/>
    <x v="0"/>
    <x v="0"/>
  </r>
  <r>
    <s v="LN-00139"/>
    <x v="7"/>
    <n v="14400"/>
    <n v="8.3800000000000008"/>
    <n v="29.9"/>
    <x v="0"/>
    <x v="1"/>
    <n v="6"/>
    <n v="101170"/>
    <n v="821"/>
    <x v="3"/>
    <x v="7"/>
    <x v="0"/>
  </r>
  <r>
    <s v="LN-00140"/>
    <x v="6"/>
    <n v="39600"/>
    <n v="10.79"/>
    <n v="73.400000000000006"/>
    <x v="1"/>
    <x v="3"/>
    <n v="0"/>
    <n v="74343"/>
    <n v="678"/>
    <x v="4"/>
    <x v="2"/>
    <x v="1"/>
  </r>
  <r>
    <s v="LN-00141"/>
    <x v="9"/>
    <n v="23700"/>
    <n v="8.3699999999999992"/>
    <n v="25.1"/>
    <x v="0"/>
    <x v="0"/>
    <n v="11"/>
    <n v="41565"/>
    <n v="850"/>
    <x v="3"/>
    <x v="7"/>
    <x v="0"/>
  </r>
  <r>
    <s v="LN-00142"/>
    <x v="7"/>
    <n v="4400"/>
    <n v="8.32"/>
    <n v="14.2"/>
    <x v="0"/>
    <x v="0"/>
    <n v="11"/>
    <n v="41565"/>
    <n v="850"/>
    <x v="3"/>
    <x v="5"/>
    <x v="0"/>
  </r>
  <r>
    <s v="LN-00143"/>
    <x v="1"/>
    <n v="17400"/>
    <n v="11.22"/>
    <n v="56.4"/>
    <x v="0"/>
    <x v="1"/>
    <n v="3"/>
    <n v="44910"/>
    <n v="540"/>
    <x v="0"/>
    <x v="0"/>
    <x v="0"/>
  </r>
  <r>
    <s v="LN-00144"/>
    <x v="6"/>
    <n v="4200"/>
    <n v="12.38"/>
    <n v="39.299999999999997"/>
    <x v="0"/>
    <x v="0"/>
    <n v="7"/>
    <n v="29691"/>
    <n v="635"/>
    <x v="1"/>
    <x v="3"/>
    <x v="0"/>
  </r>
  <r>
    <s v="LN-00145"/>
    <x v="6"/>
    <n v="6300"/>
    <n v="13.3"/>
    <n v="8.8000000000000007"/>
    <x v="0"/>
    <x v="1"/>
    <n v="5"/>
    <n v="65753"/>
    <n v="663"/>
    <x v="4"/>
    <x v="5"/>
    <x v="0"/>
  </r>
  <r>
    <s v="LN-00146"/>
    <x v="1"/>
    <n v="25400"/>
    <n v="10.99"/>
    <n v="41.1"/>
    <x v="1"/>
    <x v="1"/>
    <n v="13"/>
    <n v="57530"/>
    <n v="594"/>
    <x v="0"/>
    <x v="1"/>
    <x v="0"/>
  </r>
  <r>
    <s v="LN-00147"/>
    <x v="3"/>
    <n v="6800"/>
    <n v="6.15"/>
    <n v="33.200000000000003"/>
    <x v="1"/>
    <x v="1"/>
    <n v="1"/>
    <n v="72744"/>
    <n v="849"/>
    <x v="3"/>
    <x v="3"/>
    <x v="1"/>
  </r>
  <r>
    <s v="LN-00148"/>
    <x v="5"/>
    <n v="12600"/>
    <n v="10.52"/>
    <n v="31.9"/>
    <x v="0"/>
    <x v="1"/>
    <n v="27"/>
    <n v="104309"/>
    <n v="750"/>
    <x v="3"/>
    <x v="3"/>
    <x v="0"/>
  </r>
  <r>
    <s v="LN-00149"/>
    <x v="2"/>
    <n v="31100"/>
    <n v="8.3000000000000007"/>
    <n v="49.3"/>
    <x v="0"/>
    <x v="1"/>
    <n v="5"/>
    <n v="35230"/>
    <n v="844"/>
    <x v="3"/>
    <x v="1"/>
    <x v="0"/>
  </r>
  <r>
    <s v="LN-00150"/>
    <x v="4"/>
    <n v="10300"/>
    <n v="11.2"/>
    <n v="27.6"/>
    <x v="0"/>
    <x v="0"/>
    <n v="13"/>
    <n v="47899"/>
    <n v="812"/>
    <x v="3"/>
    <x v="7"/>
    <x v="0"/>
  </r>
  <r>
    <s v="LN-00151"/>
    <x v="2"/>
    <n v="11900"/>
    <n v="12.47"/>
    <n v="35"/>
    <x v="0"/>
    <x v="0"/>
    <n v="16"/>
    <n v="60540"/>
    <n v="695"/>
    <x v="4"/>
    <x v="3"/>
    <x v="0"/>
  </r>
  <r>
    <s v="LN-00152"/>
    <x v="1"/>
    <n v="8400"/>
    <n v="9.11"/>
    <n v="38.200000000000003"/>
    <x v="1"/>
    <x v="1"/>
    <n v="2"/>
    <n v="62885"/>
    <n v="725"/>
    <x v="2"/>
    <x v="3"/>
    <x v="0"/>
  </r>
  <r>
    <s v="LN-00153"/>
    <x v="0"/>
    <n v="37900"/>
    <n v="12.45"/>
    <n v="98.6"/>
    <x v="0"/>
    <x v="1"/>
    <n v="3"/>
    <n v="45819"/>
    <n v="746"/>
    <x v="2"/>
    <x v="6"/>
    <x v="0"/>
  </r>
  <r>
    <s v="LN-00154"/>
    <x v="4"/>
    <n v="30000"/>
    <n v="14.64"/>
    <n v="100.5"/>
    <x v="1"/>
    <x v="0"/>
    <n v="22"/>
    <n v="39760"/>
    <n v="580"/>
    <x v="0"/>
    <x v="6"/>
    <x v="0"/>
  </r>
  <r>
    <s v="LN-00155"/>
    <x v="3"/>
    <n v="14900"/>
    <n v="8.5500000000000007"/>
    <n v="21"/>
    <x v="0"/>
    <x v="2"/>
    <n v="0"/>
    <n v="138216"/>
    <n v="850"/>
    <x v="3"/>
    <x v="7"/>
    <x v="1"/>
  </r>
  <r>
    <s v="LN-00156"/>
    <x v="8"/>
    <n v="45700"/>
    <n v="12.54"/>
    <n v="50.5"/>
    <x v="0"/>
    <x v="0"/>
    <n v="0"/>
    <n v="71975"/>
    <n v="714"/>
    <x v="2"/>
    <x v="0"/>
    <x v="1"/>
  </r>
  <r>
    <s v="LN-00157"/>
    <x v="2"/>
    <n v="25000"/>
    <n v="7.43"/>
    <n v="59.5"/>
    <x v="0"/>
    <x v="4"/>
    <n v="3"/>
    <n v="37483"/>
    <n v="796"/>
    <x v="3"/>
    <x v="0"/>
    <x v="0"/>
  </r>
  <r>
    <s v="LN-00158"/>
    <x v="9"/>
    <n v="32900"/>
    <n v="12.42"/>
    <n v="63.7"/>
    <x v="0"/>
    <x v="4"/>
    <n v="9"/>
    <n v="34167"/>
    <n v="551"/>
    <x v="0"/>
    <x v="4"/>
    <x v="0"/>
  </r>
  <r>
    <s v="LN-00159"/>
    <x v="4"/>
    <n v="12900"/>
    <n v="14.96"/>
    <n v="19.8"/>
    <x v="0"/>
    <x v="4"/>
    <n v="9"/>
    <n v="34167"/>
    <n v="551"/>
    <x v="0"/>
    <x v="5"/>
    <x v="0"/>
  </r>
  <r>
    <s v="LN-00160"/>
    <x v="9"/>
    <n v="34300"/>
    <n v="9.7100000000000009"/>
    <n v="63"/>
    <x v="1"/>
    <x v="1"/>
    <n v="6"/>
    <n v="68802"/>
    <n v="674"/>
    <x v="4"/>
    <x v="4"/>
    <x v="0"/>
  </r>
  <r>
    <s v="LN-00161"/>
    <x v="3"/>
    <n v="5700"/>
    <n v="12"/>
    <n v="19.100000000000001"/>
    <x v="0"/>
    <x v="1"/>
    <n v="14"/>
    <n v="83163"/>
    <n v="563"/>
    <x v="0"/>
    <x v="5"/>
    <x v="0"/>
  </r>
  <r>
    <s v="LN-00162"/>
    <x v="8"/>
    <n v="48500"/>
    <n v="15.28"/>
    <n v="32"/>
    <x v="0"/>
    <x v="1"/>
    <n v="14"/>
    <n v="83163"/>
    <n v="563"/>
    <x v="0"/>
    <x v="3"/>
    <x v="0"/>
  </r>
  <r>
    <s v="LN-00163"/>
    <x v="6"/>
    <n v="21200"/>
    <n v="13.29"/>
    <n v="31.3"/>
    <x v="0"/>
    <x v="0"/>
    <n v="0"/>
    <n v="79434"/>
    <n v="596"/>
    <x v="0"/>
    <x v="3"/>
    <x v="1"/>
  </r>
  <r>
    <s v="LN-00164"/>
    <x v="2"/>
    <n v="20400"/>
    <n v="11.07"/>
    <n v="30.1"/>
    <x v="0"/>
    <x v="3"/>
    <n v="4"/>
    <n v="33144"/>
    <n v="706"/>
    <x v="2"/>
    <x v="3"/>
    <x v="0"/>
  </r>
  <r>
    <s v="LN-00165"/>
    <x v="8"/>
    <n v="9200"/>
    <n v="8.93"/>
    <n v="30.1"/>
    <x v="0"/>
    <x v="3"/>
    <n v="3"/>
    <n v="57088"/>
    <n v="850"/>
    <x v="3"/>
    <x v="3"/>
    <x v="0"/>
  </r>
  <r>
    <s v="LN-00166"/>
    <x v="5"/>
    <n v="5100"/>
    <n v="8.7100000000000009"/>
    <n v="24.6"/>
    <x v="0"/>
    <x v="3"/>
    <n v="3"/>
    <n v="57088"/>
    <n v="850"/>
    <x v="3"/>
    <x v="7"/>
    <x v="0"/>
  </r>
  <r>
    <s v="LN-00167"/>
    <x v="4"/>
    <n v="9100"/>
    <n v="10.07"/>
    <n v="13.3"/>
    <x v="0"/>
    <x v="0"/>
    <n v="6"/>
    <n v="63686"/>
    <n v="758"/>
    <x v="3"/>
    <x v="5"/>
    <x v="0"/>
  </r>
  <r>
    <s v="LN-00168"/>
    <x v="5"/>
    <n v="46500"/>
    <n v="10.199999999999999"/>
    <n v="71.5"/>
    <x v="1"/>
    <x v="1"/>
    <n v="16"/>
    <n v="121448"/>
    <n v="589"/>
    <x v="0"/>
    <x v="2"/>
    <x v="0"/>
  </r>
  <r>
    <s v="LN-00169"/>
    <x v="0"/>
    <n v="48500"/>
    <n v="13.52"/>
    <n v="61.3"/>
    <x v="1"/>
    <x v="1"/>
    <n v="16"/>
    <n v="121448"/>
    <n v="589"/>
    <x v="0"/>
    <x v="4"/>
    <x v="0"/>
  </r>
  <r>
    <s v="LN-00170"/>
    <x v="8"/>
    <n v="13500"/>
    <n v="10.039999999999999"/>
    <n v="45.8"/>
    <x v="0"/>
    <x v="4"/>
    <n v="7"/>
    <n v="49067"/>
    <n v="605"/>
    <x v="1"/>
    <x v="1"/>
    <x v="0"/>
  </r>
  <r>
    <s v="LN-00171"/>
    <x v="9"/>
    <n v="19900"/>
    <n v="8.2799999999999994"/>
    <n v="64.900000000000006"/>
    <x v="0"/>
    <x v="4"/>
    <n v="28"/>
    <n v="26701"/>
    <n v="762"/>
    <x v="3"/>
    <x v="4"/>
    <x v="0"/>
  </r>
  <r>
    <s v="LN-00172"/>
    <x v="2"/>
    <n v="11000"/>
    <n v="10.53"/>
    <n v="29.5"/>
    <x v="0"/>
    <x v="4"/>
    <n v="4"/>
    <n v="26403"/>
    <n v="750"/>
    <x v="3"/>
    <x v="7"/>
    <x v="0"/>
  </r>
  <r>
    <s v="LN-00173"/>
    <x v="4"/>
    <n v="2600"/>
    <n v="12.52"/>
    <n v="49.7"/>
    <x v="0"/>
    <x v="1"/>
    <n v="0"/>
    <n v="70059"/>
    <n v="554"/>
    <x v="0"/>
    <x v="1"/>
    <x v="1"/>
  </r>
  <r>
    <s v="LN-00174"/>
    <x v="0"/>
    <n v="21900"/>
    <n v="12.21"/>
    <n v="58.1"/>
    <x v="0"/>
    <x v="1"/>
    <n v="0"/>
    <n v="70059"/>
    <n v="554"/>
    <x v="0"/>
    <x v="0"/>
    <x v="1"/>
  </r>
  <r>
    <s v="LN-00175"/>
    <x v="5"/>
    <n v="19300"/>
    <n v="11.3"/>
    <n v="21.6"/>
    <x v="0"/>
    <x v="1"/>
    <n v="0"/>
    <n v="70121"/>
    <n v="818"/>
    <x v="3"/>
    <x v="7"/>
    <x v="1"/>
  </r>
  <r>
    <s v="LN-00176"/>
    <x v="3"/>
    <n v="20600"/>
    <n v="14.08"/>
    <n v="26.5"/>
    <x v="1"/>
    <x v="1"/>
    <n v="21"/>
    <n v="44547"/>
    <n v="582"/>
    <x v="0"/>
    <x v="7"/>
    <x v="0"/>
  </r>
  <r>
    <s v="LN-00177"/>
    <x v="0"/>
    <n v="17700"/>
    <n v="7.49"/>
    <n v="32.6"/>
    <x v="0"/>
    <x v="4"/>
    <n v="5"/>
    <n v="59739"/>
    <n v="842"/>
    <x v="3"/>
    <x v="3"/>
    <x v="0"/>
  </r>
  <r>
    <s v="LN-00178"/>
    <x v="0"/>
    <n v="24800"/>
    <n v="10.24"/>
    <n v="31.1"/>
    <x v="0"/>
    <x v="1"/>
    <n v="2"/>
    <n v="80850"/>
    <n v="711"/>
    <x v="2"/>
    <x v="3"/>
    <x v="0"/>
  </r>
  <r>
    <s v="LN-00179"/>
    <x v="0"/>
    <n v="5200"/>
    <n v="12.72"/>
    <n v="25.8"/>
    <x v="0"/>
    <x v="4"/>
    <n v="21"/>
    <n v="63786"/>
    <n v="611"/>
    <x v="1"/>
    <x v="7"/>
    <x v="0"/>
  </r>
  <r>
    <s v="LN-00180"/>
    <x v="6"/>
    <n v="37200"/>
    <n v="14.59"/>
    <n v="96.8"/>
    <x v="0"/>
    <x v="1"/>
    <n v="19"/>
    <n v="78563"/>
    <n v="578"/>
    <x v="0"/>
    <x v="6"/>
    <x v="0"/>
  </r>
  <r>
    <s v="LN-00181"/>
    <x v="4"/>
    <n v="12800"/>
    <n v="9.6999999999999993"/>
    <n v="10.5"/>
    <x v="1"/>
    <x v="4"/>
    <n v="5"/>
    <n v="84093"/>
    <n v="809"/>
    <x v="3"/>
    <x v="5"/>
    <x v="0"/>
  </r>
  <r>
    <s v="LN-00182"/>
    <x v="6"/>
    <n v="38800"/>
    <n v="10.86"/>
    <n v="58.6"/>
    <x v="0"/>
    <x v="1"/>
    <n v="6"/>
    <n v="55757"/>
    <n v="778"/>
    <x v="3"/>
    <x v="0"/>
    <x v="0"/>
  </r>
  <r>
    <s v="LN-00183"/>
    <x v="3"/>
    <n v="35500"/>
    <n v="7"/>
    <n v="26.5"/>
    <x v="0"/>
    <x v="1"/>
    <n v="0"/>
    <n v="87725"/>
    <n v="809"/>
    <x v="3"/>
    <x v="7"/>
    <x v="1"/>
  </r>
  <r>
    <s v="LN-00184"/>
    <x v="0"/>
    <n v="34400"/>
    <n v="6.36"/>
    <n v="64.8"/>
    <x v="0"/>
    <x v="1"/>
    <n v="25"/>
    <n v="46788"/>
    <n v="849"/>
    <x v="3"/>
    <x v="4"/>
    <x v="0"/>
  </r>
  <r>
    <s v="LN-00185"/>
    <x v="2"/>
    <n v="36200"/>
    <n v="9.35"/>
    <n v="103.5"/>
    <x v="1"/>
    <x v="4"/>
    <n v="14"/>
    <n v="64193"/>
    <n v="764"/>
    <x v="3"/>
    <x v="6"/>
    <x v="0"/>
  </r>
  <r>
    <s v="LN-00186"/>
    <x v="0"/>
    <n v="31400"/>
    <n v="11.24"/>
    <n v="54.3"/>
    <x v="0"/>
    <x v="4"/>
    <n v="12"/>
    <n v="62044"/>
    <n v="771"/>
    <x v="3"/>
    <x v="0"/>
    <x v="0"/>
  </r>
  <r>
    <s v="LN-00187"/>
    <x v="8"/>
    <n v="7700"/>
    <n v="11.43"/>
    <n v="32.9"/>
    <x v="0"/>
    <x v="4"/>
    <n v="12"/>
    <n v="62044"/>
    <n v="771"/>
    <x v="3"/>
    <x v="3"/>
    <x v="0"/>
  </r>
  <r>
    <s v="LN-00188"/>
    <x v="1"/>
    <n v="39600"/>
    <n v="9.0399999999999991"/>
    <n v="114.2"/>
    <x v="0"/>
    <x v="2"/>
    <n v="0"/>
    <n v="66474"/>
    <n v="663"/>
    <x v="4"/>
    <x v="6"/>
    <x v="1"/>
  </r>
  <r>
    <s v="LN-00189"/>
    <x v="2"/>
    <n v="24500"/>
    <n v="9.17"/>
    <n v="65.8"/>
    <x v="0"/>
    <x v="2"/>
    <n v="0"/>
    <n v="66474"/>
    <n v="663"/>
    <x v="4"/>
    <x v="4"/>
    <x v="1"/>
  </r>
  <r>
    <s v="LN-00190"/>
    <x v="7"/>
    <n v="11600"/>
    <n v="9.86"/>
    <n v="32.5"/>
    <x v="0"/>
    <x v="2"/>
    <n v="17"/>
    <n v="79058"/>
    <n v="617"/>
    <x v="1"/>
    <x v="3"/>
    <x v="0"/>
  </r>
  <r>
    <s v="LN-00191"/>
    <x v="4"/>
    <n v="43000"/>
    <n v="10.93"/>
    <n v="41"/>
    <x v="1"/>
    <x v="2"/>
    <n v="17"/>
    <n v="79058"/>
    <n v="617"/>
    <x v="1"/>
    <x v="1"/>
    <x v="0"/>
  </r>
  <r>
    <s v="LN-00192"/>
    <x v="2"/>
    <n v="11200"/>
    <n v="8.16"/>
    <n v="57.9"/>
    <x v="0"/>
    <x v="2"/>
    <n v="1"/>
    <n v="134434"/>
    <n v="762"/>
    <x v="3"/>
    <x v="0"/>
    <x v="1"/>
  </r>
  <r>
    <s v="LN-00193"/>
    <x v="0"/>
    <n v="15600"/>
    <n v="11.77"/>
    <n v="60.9"/>
    <x v="1"/>
    <x v="1"/>
    <n v="25"/>
    <n v="33977"/>
    <n v="696"/>
    <x v="4"/>
    <x v="4"/>
    <x v="0"/>
  </r>
  <r>
    <s v="LN-00194"/>
    <x v="1"/>
    <n v="12900"/>
    <n v="9.64"/>
    <n v="61.1"/>
    <x v="1"/>
    <x v="0"/>
    <n v="0"/>
    <n v="94849"/>
    <n v="850"/>
    <x v="3"/>
    <x v="4"/>
    <x v="1"/>
  </r>
  <r>
    <s v="LN-00195"/>
    <x v="2"/>
    <n v="34000"/>
    <n v="8.6199999999999992"/>
    <n v="60.4"/>
    <x v="1"/>
    <x v="0"/>
    <n v="0"/>
    <n v="94849"/>
    <n v="850"/>
    <x v="3"/>
    <x v="4"/>
    <x v="1"/>
  </r>
  <r>
    <s v="LN-00196"/>
    <x v="3"/>
    <n v="31800"/>
    <n v="9.85"/>
    <n v="56.2"/>
    <x v="1"/>
    <x v="3"/>
    <n v="15"/>
    <n v="50003"/>
    <n v="677"/>
    <x v="4"/>
    <x v="0"/>
    <x v="0"/>
  </r>
  <r>
    <s v="LN-00197"/>
    <x v="6"/>
    <n v="40500"/>
    <n v="6.81"/>
    <n v="56.1"/>
    <x v="0"/>
    <x v="1"/>
    <n v="34"/>
    <n v="98348"/>
    <n v="845"/>
    <x v="3"/>
    <x v="0"/>
    <x v="0"/>
  </r>
  <r>
    <s v="LN-00198"/>
    <x v="6"/>
    <n v="7000"/>
    <n v="12.59"/>
    <n v="29.2"/>
    <x v="1"/>
    <x v="3"/>
    <n v="5"/>
    <n v="30770"/>
    <n v="738"/>
    <x v="2"/>
    <x v="7"/>
    <x v="0"/>
  </r>
  <r>
    <s v="LN-00199"/>
    <x v="9"/>
    <n v="21400"/>
    <n v="15.11"/>
    <n v="71.099999999999994"/>
    <x v="1"/>
    <x v="0"/>
    <n v="24"/>
    <n v="72986"/>
    <n v="545"/>
    <x v="0"/>
    <x v="2"/>
    <x v="0"/>
  </r>
  <r>
    <s v="LN-00200"/>
    <x v="1"/>
    <n v="30000"/>
    <n v="13.97"/>
    <n v="27.9"/>
    <x v="0"/>
    <x v="1"/>
    <n v="3"/>
    <n v="60396"/>
    <n v="658"/>
    <x v="4"/>
    <x v="7"/>
    <x v="0"/>
  </r>
  <r>
    <s v="LN-00201"/>
    <x v="0"/>
    <n v="28300"/>
    <n v="7.71"/>
    <n v="65.099999999999994"/>
    <x v="0"/>
    <x v="2"/>
    <n v="22"/>
    <n v="51770"/>
    <n v="767"/>
    <x v="3"/>
    <x v="4"/>
    <x v="0"/>
  </r>
  <r>
    <s v="LN-00202"/>
    <x v="9"/>
    <n v="9300"/>
    <n v="13.93"/>
    <n v="50.9"/>
    <x v="0"/>
    <x v="1"/>
    <n v="20"/>
    <n v="50247"/>
    <n v="551"/>
    <x v="0"/>
    <x v="0"/>
    <x v="0"/>
  </r>
  <r>
    <s v="LN-00203"/>
    <x v="3"/>
    <n v="21500"/>
    <n v="10.93"/>
    <n v="67"/>
    <x v="0"/>
    <x v="0"/>
    <n v="3"/>
    <n v="38228"/>
    <n v="707"/>
    <x v="2"/>
    <x v="4"/>
    <x v="0"/>
  </r>
  <r>
    <s v="LN-00204"/>
    <x v="1"/>
    <n v="42900"/>
    <n v="9.85"/>
    <n v="33.299999999999997"/>
    <x v="0"/>
    <x v="0"/>
    <n v="10"/>
    <n v="131359"/>
    <n v="747"/>
    <x v="2"/>
    <x v="3"/>
    <x v="0"/>
  </r>
  <r>
    <s v="LN-00205"/>
    <x v="5"/>
    <n v="8500"/>
    <n v="9.99"/>
    <n v="25.3"/>
    <x v="0"/>
    <x v="0"/>
    <n v="10"/>
    <n v="131359"/>
    <n v="747"/>
    <x v="2"/>
    <x v="7"/>
    <x v="0"/>
  </r>
  <r>
    <s v="LN-00206"/>
    <x v="0"/>
    <n v="36800"/>
    <n v="7.78"/>
    <n v="39.5"/>
    <x v="0"/>
    <x v="1"/>
    <n v="11"/>
    <n v="49011"/>
    <n v="750"/>
    <x v="3"/>
    <x v="3"/>
    <x v="0"/>
  </r>
  <r>
    <s v="LN-00207"/>
    <x v="3"/>
    <n v="2500"/>
    <n v="8.11"/>
    <n v="32.299999999999997"/>
    <x v="0"/>
    <x v="3"/>
    <n v="11"/>
    <n v="26997"/>
    <n v="752"/>
    <x v="3"/>
    <x v="3"/>
    <x v="0"/>
  </r>
  <r>
    <s v="LN-00208"/>
    <x v="4"/>
    <n v="15400"/>
    <n v="12.59"/>
    <n v="56.6"/>
    <x v="0"/>
    <x v="4"/>
    <n v="21"/>
    <n v="43915"/>
    <n v="568"/>
    <x v="0"/>
    <x v="0"/>
    <x v="0"/>
  </r>
  <r>
    <s v="LN-00209"/>
    <x v="9"/>
    <n v="12800"/>
    <n v="11.11"/>
    <n v="54"/>
    <x v="1"/>
    <x v="4"/>
    <n v="21"/>
    <n v="43915"/>
    <n v="568"/>
    <x v="0"/>
    <x v="0"/>
    <x v="0"/>
  </r>
  <r>
    <s v="LN-00210"/>
    <x v="1"/>
    <n v="45300"/>
    <n v="7.2"/>
    <n v="36.299999999999997"/>
    <x v="0"/>
    <x v="1"/>
    <n v="0"/>
    <n v="129991"/>
    <n v="774"/>
    <x v="3"/>
    <x v="3"/>
    <x v="1"/>
  </r>
  <r>
    <s v="LN-00211"/>
    <x v="9"/>
    <n v="14800"/>
    <n v="8.93"/>
    <n v="23.8"/>
    <x v="0"/>
    <x v="1"/>
    <n v="11"/>
    <n v="67764"/>
    <n v="765"/>
    <x v="3"/>
    <x v="7"/>
    <x v="0"/>
  </r>
  <r>
    <s v="LN-00212"/>
    <x v="1"/>
    <n v="11400"/>
    <n v="14.49"/>
    <n v="90.3"/>
    <x v="1"/>
    <x v="3"/>
    <n v="0"/>
    <n v="31088"/>
    <n v="583"/>
    <x v="0"/>
    <x v="6"/>
    <x v="1"/>
  </r>
  <r>
    <s v="LN-00213"/>
    <x v="9"/>
    <n v="10400"/>
    <n v="9.5399999999999991"/>
    <n v="33.700000000000003"/>
    <x v="0"/>
    <x v="1"/>
    <n v="4"/>
    <n v="50017"/>
    <n v="843"/>
    <x v="3"/>
    <x v="3"/>
    <x v="0"/>
  </r>
  <r>
    <s v="LN-00214"/>
    <x v="1"/>
    <n v="30700"/>
    <n v="12.87"/>
    <n v="56.3"/>
    <x v="1"/>
    <x v="2"/>
    <n v="6"/>
    <n v="68998"/>
    <n v="579"/>
    <x v="0"/>
    <x v="0"/>
    <x v="0"/>
  </r>
  <r>
    <s v="LN-00215"/>
    <x v="1"/>
    <n v="27100"/>
    <n v="13.19"/>
    <n v="70.5"/>
    <x v="0"/>
    <x v="1"/>
    <n v="11"/>
    <n v="53774"/>
    <n v="610"/>
    <x v="1"/>
    <x v="2"/>
    <x v="0"/>
  </r>
  <r>
    <s v="LN-00216"/>
    <x v="0"/>
    <n v="24700"/>
    <n v="7.62"/>
    <n v="64.8"/>
    <x v="0"/>
    <x v="1"/>
    <n v="5"/>
    <n v="46073"/>
    <n v="823"/>
    <x v="3"/>
    <x v="4"/>
    <x v="0"/>
  </r>
  <r>
    <s v="LN-00217"/>
    <x v="8"/>
    <n v="14000"/>
    <n v="7.97"/>
    <n v="31.5"/>
    <x v="0"/>
    <x v="4"/>
    <n v="3"/>
    <n v="37566"/>
    <n v="794"/>
    <x v="3"/>
    <x v="3"/>
    <x v="0"/>
  </r>
  <r>
    <s v="LN-00218"/>
    <x v="6"/>
    <n v="34000"/>
    <n v="10.89"/>
    <n v="46.7"/>
    <x v="0"/>
    <x v="4"/>
    <n v="3"/>
    <n v="37566"/>
    <n v="794"/>
    <x v="3"/>
    <x v="1"/>
    <x v="0"/>
  </r>
  <r>
    <s v="LN-00219"/>
    <x v="7"/>
    <n v="22700"/>
    <n v="10.39"/>
    <n v="44.9"/>
    <x v="0"/>
    <x v="1"/>
    <n v="4"/>
    <n v="83990"/>
    <n v="716"/>
    <x v="2"/>
    <x v="1"/>
    <x v="0"/>
  </r>
  <r>
    <s v="LN-00220"/>
    <x v="8"/>
    <n v="22000"/>
    <n v="11"/>
    <n v="64.7"/>
    <x v="0"/>
    <x v="2"/>
    <n v="8"/>
    <n v="44135"/>
    <n v="593"/>
    <x v="0"/>
    <x v="4"/>
    <x v="0"/>
  </r>
  <r>
    <s v="LN-00221"/>
    <x v="6"/>
    <n v="10000"/>
    <n v="15"/>
    <n v="61.8"/>
    <x v="0"/>
    <x v="4"/>
    <n v="8"/>
    <n v="42447"/>
    <n v="570"/>
    <x v="0"/>
    <x v="4"/>
    <x v="0"/>
  </r>
  <r>
    <s v="LN-00222"/>
    <x v="1"/>
    <n v="36800"/>
    <n v="11.68"/>
    <n v="85.1"/>
    <x v="0"/>
    <x v="4"/>
    <n v="8"/>
    <n v="42447"/>
    <n v="570"/>
    <x v="0"/>
    <x v="6"/>
    <x v="0"/>
  </r>
  <r>
    <s v="LN-00223"/>
    <x v="2"/>
    <n v="27600"/>
    <n v="9.2200000000000006"/>
    <n v="64.8"/>
    <x v="0"/>
    <x v="1"/>
    <n v="9"/>
    <n v="51358"/>
    <n v="827"/>
    <x v="3"/>
    <x v="4"/>
    <x v="0"/>
  </r>
  <r>
    <s v="LN-00224"/>
    <x v="7"/>
    <n v="12500"/>
    <n v="7.09"/>
    <n v="60.5"/>
    <x v="0"/>
    <x v="1"/>
    <n v="9"/>
    <n v="51358"/>
    <n v="827"/>
    <x v="3"/>
    <x v="4"/>
    <x v="0"/>
  </r>
  <r>
    <s v="LN-00225"/>
    <x v="4"/>
    <n v="5000"/>
    <n v="7.95"/>
    <n v="40.700000000000003"/>
    <x v="0"/>
    <x v="2"/>
    <n v="16"/>
    <n v="25259"/>
    <n v="850"/>
    <x v="3"/>
    <x v="1"/>
    <x v="0"/>
  </r>
  <r>
    <s v="LN-00226"/>
    <x v="4"/>
    <n v="2800"/>
    <n v="8.86"/>
    <n v="22"/>
    <x v="0"/>
    <x v="3"/>
    <n v="3"/>
    <n v="32494"/>
    <n v="679"/>
    <x v="4"/>
    <x v="7"/>
    <x v="0"/>
  </r>
  <r>
    <s v="LN-00227"/>
    <x v="3"/>
    <n v="35600"/>
    <n v="9.81"/>
    <n v="96.8"/>
    <x v="0"/>
    <x v="1"/>
    <n v="1"/>
    <n v="67116"/>
    <n v="772"/>
    <x v="3"/>
    <x v="6"/>
    <x v="1"/>
  </r>
  <r>
    <s v="LN-00228"/>
    <x v="3"/>
    <n v="46900"/>
    <n v="9.25"/>
    <n v="34.9"/>
    <x v="0"/>
    <x v="1"/>
    <n v="32"/>
    <n v="108165"/>
    <n v="734"/>
    <x v="2"/>
    <x v="3"/>
    <x v="0"/>
  </r>
  <r>
    <s v="LN-00229"/>
    <x v="1"/>
    <n v="15200"/>
    <n v="12.02"/>
    <n v="88"/>
    <x v="0"/>
    <x v="1"/>
    <n v="27"/>
    <n v="42807"/>
    <n v="726"/>
    <x v="2"/>
    <x v="6"/>
    <x v="0"/>
  </r>
  <r>
    <s v="LN-00230"/>
    <x v="6"/>
    <n v="35500"/>
    <n v="10.07"/>
    <n v="33.200000000000003"/>
    <x v="0"/>
    <x v="0"/>
    <n v="15"/>
    <n v="70887"/>
    <n v="616"/>
    <x v="1"/>
    <x v="3"/>
    <x v="0"/>
  </r>
  <r>
    <s v="LN-00231"/>
    <x v="8"/>
    <n v="30700"/>
    <n v="12.35"/>
    <n v="74.900000000000006"/>
    <x v="1"/>
    <x v="1"/>
    <n v="1"/>
    <n v="38494"/>
    <n v="648"/>
    <x v="1"/>
    <x v="2"/>
    <x v="1"/>
  </r>
  <r>
    <s v="LN-00232"/>
    <x v="4"/>
    <n v="6300"/>
    <n v="12.83"/>
    <n v="51.9"/>
    <x v="0"/>
    <x v="1"/>
    <n v="27"/>
    <n v="41121"/>
    <n v="585"/>
    <x v="0"/>
    <x v="0"/>
    <x v="0"/>
  </r>
  <r>
    <s v="LN-00233"/>
    <x v="0"/>
    <n v="8400"/>
    <n v="11.52"/>
    <n v="54.4"/>
    <x v="0"/>
    <x v="1"/>
    <n v="17"/>
    <n v="42175"/>
    <n v="715"/>
    <x v="2"/>
    <x v="0"/>
    <x v="0"/>
  </r>
  <r>
    <s v="LN-00234"/>
    <x v="1"/>
    <n v="44400"/>
    <n v="10.19"/>
    <n v="74.7"/>
    <x v="0"/>
    <x v="3"/>
    <n v="3"/>
    <n v="58864"/>
    <n v="595"/>
    <x v="0"/>
    <x v="2"/>
    <x v="0"/>
  </r>
  <r>
    <s v="LN-00235"/>
    <x v="0"/>
    <n v="35700"/>
    <n v="6.98"/>
    <n v="64.7"/>
    <x v="0"/>
    <x v="1"/>
    <n v="1"/>
    <n v="98282"/>
    <n v="796"/>
    <x v="3"/>
    <x v="4"/>
    <x v="1"/>
  </r>
  <r>
    <s v="LN-00236"/>
    <x v="5"/>
    <n v="7600"/>
    <n v="8.91"/>
    <n v="47.1"/>
    <x v="0"/>
    <x v="1"/>
    <n v="1"/>
    <n v="98282"/>
    <n v="796"/>
    <x v="3"/>
    <x v="1"/>
    <x v="1"/>
  </r>
  <r>
    <s v="LN-00237"/>
    <x v="3"/>
    <n v="13900"/>
    <n v="10.54"/>
    <n v="39.1"/>
    <x v="0"/>
    <x v="3"/>
    <n v="20"/>
    <n v="40418"/>
    <n v="697"/>
    <x v="4"/>
    <x v="3"/>
    <x v="0"/>
  </r>
  <r>
    <s v="LN-00238"/>
    <x v="1"/>
    <n v="29800"/>
    <n v="7.73"/>
    <n v="81.900000000000006"/>
    <x v="0"/>
    <x v="1"/>
    <n v="9"/>
    <n v="71852"/>
    <n v="823"/>
    <x v="3"/>
    <x v="6"/>
    <x v="0"/>
  </r>
  <r>
    <s v="LN-00239"/>
    <x v="0"/>
    <n v="17500"/>
    <n v="10.71"/>
    <n v="52"/>
    <x v="0"/>
    <x v="0"/>
    <n v="0"/>
    <n v="86875"/>
    <n v="850"/>
    <x v="3"/>
    <x v="0"/>
    <x v="1"/>
  </r>
  <r>
    <s v="LN-00240"/>
    <x v="3"/>
    <n v="17700"/>
    <n v="11.3"/>
    <n v="48.2"/>
    <x v="0"/>
    <x v="0"/>
    <n v="33"/>
    <n v="77828"/>
    <n v="622"/>
    <x v="1"/>
    <x v="1"/>
    <x v="0"/>
  </r>
  <r>
    <s v="LN-00241"/>
    <x v="9"/>
    <n v="32100"/>
    <n v="10.9"/>
    <n v="139.69999999999999"/>
    <x v="1"/>
    <x v="3"/>
    <n v="1"/>
    <n v="33970"/>
    <n v="622"/>
    <x v="1"/>
    <x v="6"/>
    <x v="1"/>
  </r>
  <r>
    <s v="LN-00242"/>
    <x v="5"/>
    <n v="28900"/>
    <n v="11.63"/>
    <n v="74.599999999999994"/>
    <x v="1"/>
    <x v="3"/>
    <n v="22"/>
    <n v="38878"/>
    <n v="556"/>
    <x v="0"/>
    <x v="2"/>
    <x v="0"/>
  </r>
  <r>
    <s v="LN-00243"/>
    <x v="5"/>
    <n v="15500"/>
    <n v="7.34"/>
    <n v="49.7"/>
    <x v="0"/>
    <x v="1"/>
    <n v="21"/>
    <n v="51649"/>
    <n v="802"/>
    <x v="3"/>
    <x v="1"/>
    <x v="0"/>
  </r>
  <r>
    <s v="LN-00244"/>
    <x v="3"/>
    <n v="46500"/>
    <n v="11.15"/>
    <n v="76.5"/>
    <x v="0"/>
    <x v="1"/>
    <n v="21"/>
    <n v="51649"/>
    <n v="802"/>
    <x v="3"/>
    <x v="2"/>
    <x v="0"/>
  </r>
  <r>
    <s v="LN-00245"/>
    <x v="5"/>
    <n v="49700"/>
    <n v="11.68"/>
    <n v="83.2"/>
    <x v="1"/>
    <x v="1"/>
    <n v="17"/>
    <n v="96142"/>
    <n v="666"/>
    <x v="4"/>
    <x v="6"/>
    <x v="0"/>
  </r>
  <r>
    <s v="LN-00246"/>
    <x v="5"/>
    <n v="10100"/>
    <n v="9.1"/>
    <n v="21.8"/>
    <x v="1"/>
    <x v="0"/>
    <n v="11"/>
    <n v="96556"/>
    <n v="785"/>
    <x v="3"/>
    <x v="7"/>
    <x v="0"/>
  </r>
  <r>
    <s v="LN-00247"/>
    <x v="2"/>
    <n v="25700"/>
    <n v="8.25"/>
    <n v="21.4"/>
    <x v="0"/>
    <x v="1"/>
    <n v="5"/>
    <n v="97749"/>
    <n v="742"/>
    <x v="2"/>
    <x v="7"/>
    <x v="0"/>
  </r>
  <r>
    <s v="LN-00248"/>
    <x v="2"/>
    <n v="29000"/>
    <n v="8.6999999999999993"/>
    <n v="14.4"/>
    <x v="0"/>
    <x v="1"/>
    <n v="5"/>
    <n v="97749"/>
    <n v="742"/>
    <x v="2"/>
    <x v="5"/>
    <x v="0"/>
  </r>
  <r>
    <s v="LN-00249"/>
    <x v="0"/>
    <n v="27200"/>
    <n v="8.59"/>
    <n v="137.4"/>
    <x v="0"/>
    <x v="4"/>
    <n v="13"/>
    <n v="27294"/>
    <n v="770"/>
    <x v="3"/>
    <x v="6"/>
    <x v="0"/>
  </r>
  <r>
    <s v="LN-00250"/>
    <x v="5"/>
    <n v="4700"/>
    <n v="11.45"/>
    <n v="22.8"/>
    <x v="0"/>
    <x v="3"/>
    <n v="1"/>
    <n v="23680"/>
    <n v="649"/>
    <x v="1"/>
    <x v="7"/>
    <x v="1"/>
  </r>
  <r>
    <s v="LN-00251"/>
    <x v="9"/>
    <n v="12400"/>
    <n v="9.83"/>
    <n v="29.9"/>
    <x v="0"/>
    <x v="3"/>
    <n v="1"/>
    <n v="23680"/>
    <n v="649"/>
    <x v="1"/>
    <x v="7"/>
    <x v="1"/>
  </r>
  <r>
    <s v="LN-00252"/>
    <x v="2"/>
    <n v="20300"/>
    <n v="11.28"/>
    <n v="51.1"/>
    <x v="0"/>
    <x v="0"/>
    <n v="0"/>
    <n v="47014"/>
    <n v="600"/>
    <x v="1"/>
    <x v="0"/>
    <x v="1"/>
  </r>
  <r>
    <s v="LN-00253"/>
    <x v="5"/>
    <n v="21300"/>
    <n v="8.7899999999999991"/>
    <n v="49"/>
    <x v="0"/>
    <x v="1"/>
    <n v="18"/>
    <n v="102097"/>
    <n v="709"/>
    <x v="2"/>
    <x v="1"/>
    <x v="0"/>
  </r>
  <r>
    <s v="LN-00254"/>
    <x v="9"/>
    <n v="31800"/>
    <n v="10.75"/>
    <n v="49.8"/>
    <x v="0"/>
    <x v="1"/>
    <n v="18"/>
    <n v="102097"/>
    <n v="709"/>
    <x v="2"/>
    <x v="1"/>
    <x v="0"/>
  </r>
  <r>
    <s v="LN-00255"/>
    <x v="6"/>
    <n v="40900"/>
    <n v="10.37"/>
    <n v="17.3"/>
    <x v="1"/>
    <x v="0"/>
    <n v="13"/>
    <n v="100359"/>
    <n v="634"/>
    <x v="1"/>
    <x v="5"/>
    <x v="0"/>
  </r>
  <r>
    <s v="LN-00256"/>
    <x v="0"/>
    <n v="33100"/>
    <n v="13.1"/>
    <n v="67.3"/>
    <x v="0"/>
    <x v="1"/>
    <n v="1"/>
    <n v="118864"/>
    <n v="693"/>
    <x v="4"/>
    <x v="4"/>
    <x v="1"/>
  </r>
  <r>
    <s v="LN-00257"/>
    <x v="0"/>
    <n v="21300"/>
    <n v="11.26"/>
    <n v="71.099999999999994"/>
    <x v="0"/>
    <x v="4"/>
    <n v="4"/>
    <n v="32700"/>
    <n v="777"/>
    <x v="3"/>
    <x v="2"/>
    <x v="0"/>
  </r>
  <r>
    <s v="LN-00258"/>
    <x v="2"/>
    <n v="6900"/>
    <n v="11.99"/>
    <n v="62.1"/>
    <x v="1"/>
    <x v="1"/>
    <n v="0"/>
    <n v="31455"/>
    <n v="620"/>
    <x v="1"/>
    <x v="4"/>
    <x v="1"/>
  </r>
  <r>
    <s v="LN-00259"/>
    <x v="6"/>
    <n v="2600"/>
    <n v="10.56"/>
    <n v="41.2"/>
    <x v="0"/>
    <x v="1"/>
    <n v="0"/>
    <n v="31455"/>
    <n v="620"/>
    <x v="1"/>
    <x v="1"/>
    <x v="1"/>
  </r>
  <r>
    <s v="LN-00260"/>
    <x v="4"/>
    <n v="23800"/>
    <n v="10.65"/>
    <n v="27.8"/>
    <x v="0"/>
    <x v="2"/>
    <n v="8"/>
    <n v="53975"/>
    <n v="748"/>
    <x v="2"/>
    <x v="7"/>
    <x v="0"/>
  </r>
  <r>
    <s v="LN-00261"/>
    <x v="6"/>
    <n v="18600"/>
    <n v="10.15"/>
    <n v="99.8"/>
    <x v="1"/>
    <x v="4"/>
    <n v="3"/>
    <n v="24621"/>
    <n v="721"/>
    <x v="2"/>
    <x v="6"/>
    <x v="0"/>
  </r>
  <r>
    <s v="LN-00262"/>
    <x v="0"/>
    <n v="21400"/>
    <n v="12.71"/>
    <n v="34.4"/>
    <x v="0"/>
    <x v="1"/>
    <n v="3"/>
    <n v="63539"/>
    <n v="655"/>
    <x v="4"/>
    <x v="3"/>
    <x v="0"/>
  </r>
  <r>
    <s v="LN-00263"/>
    <x v="1"/>
    <n v="6200"/>
    <n v="9.9"/>
    <n v="14.5"/>
    <x v="0"/>
    <x v="2"/>
    <n v="18"/>
    <n v="120652"/>
    <n v="610"/>
    <x v="1"/>
    <x v="5"/>
    <x v="0"/>
  </r>
  <r>
    <s v="LN-00264"/>
    <x v="0"/>
    <n v="27800"/>
    <n v="10.78"/>
    <n v="38.1"/>
    <x v="0"/>
    <x v="4"/>
    <n v="7"/>
    <n v="38662"/>
    <n v="806"/>
    <x v="3"/>
    <x v="3"/>
    <x v="0"/>
  </r>
  <r>
    <s v="LN-00265"/>
    <x v="6"/>
    <n v="5500"/>
    <n v="11.5"/>
    <n v="36.6"/>
    <x v="1"/>
    <x v="3"/>
    <n v="14"/>
    <n v="49958"/>
    <n v="799"/>
    <x v="3"/>
    <x v="3"/>
    <x v="0"/>
  </r>
  <r>
    <s v="LN-00266"/>
    <x v="7"/>
    <n v="39400"/>
    <n v="6.77"/>
    <n v="26.5"/>
    <x v="1"/>
    <x v="2"/>
    <n v="1"/>
    <n v="71945"/>
    <n v="809"/>
    <x v="3"/>
    <x v="7"/>
    <x v="1"/>
  </r>
  <r>
    <s v="LN-00267"/>
    <x v="0"/>
    <n v="30600"/>
    <n v="12.03"/>
    <n v="39.4"/>
    <x v="0"/>
    <x v="1"/>
    <n v="1"/>
    <n v="131724"/>
    <n v="778"/>
    <x v="3"/>
    <x v="3"/>
    <x v="1"/>
  </r>
  <r>
    <s v="LN-00268"/>
    <x v="9"/>
    <n v="45400"/>
    <n v="8.19"/>
    <n v="43.3"/>
    <x v="0"/>
    <x v="1"/>
    <n v="1"/>
    <n v="131724"/>
    <n v="778"/>
    <x v="3"/>
    <x v="1"/>
    <x v="1"/>
  </r>
  <r>
    <s v="LN-00269"/>
    <x v="1"/>
    <n v="7600"/>
    <n v="12.33"/>
    <n v="11"/>
    <x v="0"/>
    <x v="2"/>
    <n v="16"/>
    <n v="86745"/>
    <n v="742"/>
    <x v="2"/>
    <x v="5"/>
    <x v="0"/>
  </r>
  <r>
    <s v="LN-00270"/>
    <x v="0"/>
    <n v="13100"/>
    <n v="13.44"/>
    <n v="53.4"/>
    <x v="0"/>
    <x v="1"/>
    <n v="29"/>
    <n v="75328"/>
    <n v="570"/>
    <x v="0"/>
    <x v="0"/>
    <x v="0"/>
  </r>
  <r>
    <s v="LN-00271"/>
    <x v="3"/>
    <n v="20700"/>
    <n v="12"/>
    <n v="19.8"/>
    <x v="0"/>
    <x v="3"/>
    <n v="28"/>
    <n v="60734"/>
    <n v="730"/>
    <x v="2"/>
    <x v="5"/>
    <x v="0"/>
  </r>
  <r>
    <s v="LN-00272"/>
    <x v="3"/>
    <n v="6100"/>
    <n v="10.48"/>
    <n v="42.8"/>
    <x v="1"/>
    <x v="1"/>
    <n v="11"/>
    <n v="128412"/>
    <n v="610"/>
    <x v="1"/>
    <x v="1"/>
    <x v="0"/>
  </r>
  <r>
    <s v="LN-00273"/>
    <x v="1"/>
    <n v="25700"/>
    <n v="7.93"/>
    <n v="38.1"/>
    <x v="0"/>
    <x v="0"/>
    <n v="13"/>
    <n v="138554"/>
    <n v="787"/>
    <x v="3"/>
    <x v="3"/>
    <x v="0"/>
  </r>
  <r>
    <s v="LN-00274"/>
    <x v="5"/>
    <n v="43900"/>
    <n v="14.33"/>
    <n v="177.4"/>
    <x v="1"/>
    <x v="4"/>
    <n v="0"/>
    <n v="37737"/>
    <n v="582"/>
    <x v="0"/>
    <x v="6"/>
    <x v="1"/>
  </r>
  <r>
    <s v="LN-00275"/>
    <x v="7"/>
    <n v="49700"/>
    <n v="11.21"/>
    <n v="51.2"/>
    <x v="0"/>
    <x v="1"/>
    <n v="0"/>
    <n v="56840"/>
    <n v="758"/>
    <x v="3"/>
    <x v="0"/>
    <x v="1"/>
  </r>
  <r>
    <s v="LN-00276"/>
    <x v="6"/>
    <n v="46500"/>
    <n v="12.61"/>
    <n v="56.2"/>
    <x v="0"/>
    <x v="0"/>
    <n v="7"/>
    <n v="66623"/>
    <n v="683"/>
    <x v="4"/>
    <x v="0"/>
    <x v="0"/>
  </r>
  <r>
    <s v="LN-00277"/>
    <x v="6"/>
    <n v="4000"/>
    <n v="7.24"/>
    <n v="55.6"/>
    <x v="0"/>
    <x v="1"/>
    <n v="14"/>
    <n v="129782"/>
    <n v="816"/>
    <x v="3"/>
    <x v="0"/>
    <x v="0"/>
  </r>
  <r>
    <s v="LN-00278"/>
    <x v="3"/>
    <n v="38600"/>
    <n v="10.06"/>
    <n v="61.5"/>
    <x v="1"/>
    <x v="1"/>
    <n v="14"/>
    <n v="129782"/>
    <n v="816"/>
    <x v="3"/>
    <x v="4"/>
    <x v="0"/>
  </r>
  <r>
    <s v="LN-00279"/>
    <x v="5"/>
    <n v="8100"/>
    <n v="12"/>
    <n v="43.4"/>
    <x v="0"/>
    <x v="1"/>
    <n v="10"/>
    <n v="72220"/>
    <n v="711"/>
    <x v="2"/>
    <x v="1"/>
    <x v="0"/>
  </r>
  <r>
    <s v="LN-00280"/>
    <x v="6"/>
    <n v="22300"/>
    <n v="8.94"/>
    <n v="25.8"/>
    <x v="0"/>
    <x v="1"/>
    <n v="7"/>
    <n v="48955"/>
    <n v="772"/>
    <x v="3"/>
    <x v="7"/>
    <x v="0"/>
  </r>
  <r>
    <s v="LN-00281"/>
    <x v="1"/>
    <n v="21600"/>
    <n v="11.09"/>
    <n v="46.2"/>
    <x v="0"/>
    <x v="3"/>
    <n v="8"/>
    <n v="75699"/>
    <n v="820"/>
    <x v="3"/>
    <x v="1"/>
    <x v="0"/>
  </r>
  <r>
    <s v="LN-00282"/>
    <x v="8"/>
    <n v="26800"/>
    <n v="9.7200000000000006"/>
    <n v="31.1"/>
    <x v="0"/>
    <x v="1"/>
    <n v="1"/>
    <n v="116769"/>
    <n v="642"/>
    <x v="1"/>
    <x v="3"/>
    <x v="1"/>
  </r>
  <r>
    <s v="LN-00283"/>
    <x v="8"/>
    <n v="32800"/>
    <n v="6.69"/>
    <n v="36.299999999999997"/>
    <x v="0"/>
    <x v="0"/>
    <n v="1"/>
    <n v="47895"/>
    <n v="816"/>
    <x v="3"/>
    <x v="3"/>
    <x v="1"/>
  </r>
  <r>
    <s v="LN-00284"/>
    <x v="3"/>
    <n v="17100"/>
    <n v="7.04"/>
    <n v="60.7"/>
    <x v="0"/>
    <x v="1"/>
    <n v="0"/>
    <n v="63656"/>
    <n v="780"/>
    <x v="3"/>
    <x v="4"/>
    <x v="1"/>
  </r>
  <r>
    <s v="LN-00285"/>
    <x v="7"/>
    <n v="32000"/>
    <n v="11.38"/>
    <n v="44.8"/>
    <x v="0"/>
    <x v="1"/>
    <n v="19"/>
    <n v="50940"/>
    <n v="713"/>
    <x v="2"/>
    <x v="1"/>
    <x v="0"/>
  </r>
  <r>
    <s v="LN-00286"/>
    <x v="3"/>
    <n v="22300"/>
    <n v="11.48"/>
    <n v="49.1"/>
    <x v="0"/>
    <x v="2"/>
    <n v="20"/>
    <n v="98934"/>
    <n v="729"/>
    <x v="2"/>
    <x v="1"/>
    <x v="0"/>
  </r>
  <r>
    <s v="LN-00287"/>
    <x v="3"/>
    <n v="24100"/>
    <n v="7.82"/>
    <n v="72.2"/>
    <x v="0"/>
    <x v="4"/>
    <n v="2"/>
    <n v="33693"/>
    <n v="738"/>
    <x v="2"/>
    <x v="2"/>
    <x v="0"/>
  </r>
  <r>
    <s v="LN-00288"/>
    <x v="6"/>
    <n v="42400"/>
    <n v="11.95"/>
    <n v="48.1"/>
    <x v="1"/>
    <x v="0"/>
    <n v="15"/>
    <n v="84293"/>
    <n v="671"/>
    <x v="4"/>
    <x v="1"/>
    <x v="0"/>
  </r>
  <r>
    <s v="LN-00289"/>
    <x v="0"/>
    <n v="37400"/>
    <n v="10.51"/>
    <n v="41.7"/>
    <x v="0"/>
    <x v="0"/>
    <n v="15"/>
    <n v="84293"/>
    <n v="671"/>
    <x v="4"/>
    <x v="1"/>
    <x v="0"/>
  </r>
  <r>
    <s v="LN-00290"/>
    <x v="2"/>
    <n v="13200"/>
    <n v="8.17"/>
    <n v="57.1"/>
    <x v="0"/>
    <x v="1"/>
    <n v="11"/>
    <n v="116402"/>
    <n v="795"/>
    <x v="3"/>
    <x v="0"/>
    <x v="0"/>
  </r>
  <r>
    <s v="LN-00291"/>
    <x v="4"/>
    <n v="11200"/>
    <n v="9.02"/>
    <n v="56.5"/>
    <x v="0"/>
    <x v="1"/>
    <n v="11"/>
    <n v="116402"/>
    <n v="795"/>
    <x v="3"/>
    <x v="0"/>
    <x v="0"/>
  </r>
  <r>
    <s v="LN-00292"/>
    <x v="5"/>
    <n v="22800"/>
    <n v="14.15"/>
    <n v="25.2"/>
    <x v="0"/>
    <x v="2"/>
    <n v="0"/>
    <n v="55670"/>
    <n v="554"/>
    <x v="0"/>
    <x v="7"/>
    <x v="1"/>
  </r>
  <r>
    <s v="LN-00293"/>
    <x v="0"/>
    <n v="37700"/>
    <n v="9.64"/>
    <n v="70"/>
    <x v="0"/>
    <x v="1"/>
    <n v="10"/>
    <n v="35536"/>
    <n v="841"/>
    <x v="3"/>
    <x v="2"/>
    <x v="0"/>
  </r>
  <r>
    <s v="LN-00294"/>
    <x v="5"/>
    <n v="10400"/>
    <n v="7.41"/>
    <n v="65.5"/>
    <x v="0"/>
    <x v="3"/>
    <n v="2"/>
    <n v="12549"/>
    <n v="791"/>
    <x v="3"/>
    <x v="4"/>
    <x v="0"/>
  </r>
  <r>
    <s v="LN-00295"/>
    <x v="6"/>
    <n v="14200"/>
    <n v="12.28"/>
    <n v="66.2"/>
    <x v="1"/>
    <x v="4"/>
    <n v="33"/>
    <n v="31222"/>
    <n v="574"/>
    <x v="0"/>
    <x v="4"/>
    <x v="0"/>
  </r>
  <r>
    <s v="LN-00296"/>
    <x v="3"/>
    <n v="16600"/>
    <n v="7.86"/>
    <n v="49.6"/>
    <x v="0"/>
    <x v="1"/>
    <n v="14"/>
    <n v="46634"/>
    <n v="737"/>
    <x v="2"/>
    <x v="1"/>
    <x v="0"/>
  </r>
  <r>
    <s v="LN-00297"/>
    <x v="3"/>
    <n v="41100"/>
    <n v="10.23"/>
    <n v="50.9"/>
    <x v="1"/>
    <x v="2"/>
    <n v="6"/>
    <n v="89061"/>
    <n v="587"/>
    <x v="0"/>
    <x v="0"/>
    <x v="0"/>
  </r>
  <r>
    <s v="LN-00298"/>
    <x v="1"/>
    <n v="16900"/>
    <n v="14.72"/>
    <n v="43.1"/>
    <x v="0"/>
    <x v="2"/>
    <n v="6"/>
    <n v="89061"/>
    <n v="587"/>
    <x v="0"/>
    <x v="1"/>
    <x v="0"/>
  </r>
  <r>
    <s v="LN-00299"/>
    <x v="2"/>
    <n v="31000"/>
    <n v="9.18"/>
    <n v="40.200000000000003"/>
    <x v="1"/>
    <x v="1"/>
    <n v="6"/>
    <n v="37673"/>
    <n v="694"/>
    <x v="4"/>
    <x v="1"/>
    <x v="0"/>
  </r>
  <r>
    <s v="LN-00300"/>
    <x v="1"/>
    <n v="3800"/>
    <n v="14.21"/>
    <n v="16.100000000000001"/>
    <x v="0"/>
    <x v="1"/>
    <n v="17"/>
    <n v="58595"/>
    <n v="568"/>
    <x v="0"/>
    <x v="5"/>
    <x v="0"/>
  </r>
  <r>
    <s v="LN-00301"/>
    <x v="3"/>
    <n v="5100"/>
    <n v="8.2899999999999991"/>
    <n v="51.2"/>
    <x v="0"/>
    <x v="1"/>
    <n v="2"/>
    <n v="27475"/>
    <n v="728"/>
    <x v="2"/>
    <x v="0"/>
    <x v="0"/>
  </r>
  <r>
    <s v="LN-00302"/>
    <x v="8"/>
    <n v="27200"/>
    <n v="14.71"/>
    <n v="66.5"/>
    <x v="0"/>
    <x v="1"/>
    <n v="25"/>
    <n v="65089"/>
    <n v="606"/>
    <x v="1"/>
    <x v="4"/>
    <x v="0"/>
  </r>
  <r>
    <s v="LN-00303"/>
    <x v="0"/>
    <n v="12100"/>
    <n v="10.28"/>
    <n v="52.7"/>
    <x v="0"/>
    <x v="1"/>
    <n v="19"/>
    <n v="51921"/>
    <n v="704"/>
    <x v="2"/>
    <x v="0"/>
    <x v="0"/>
  </r>
  <r>
    <s v="LN-00304"/>
    <x v="5"/>
    <n v="35900"/>
    <n v="10.18"/>
    <n v="70.5"/>
    <x v="1"/>
    <x v="1"/>
    <n v="19"/>
    <n v="51921"/>
    <n v="704"/>
    <x v="2"/>
    <x v="2"/>
    <x v="0"/>
  </r>
  <r>
    <s v="LN-00305"/>
    <x v="3"/>
    <n v="9900"/>
    <n v="9.92"/>
    <n v="54"/>
    <x v="0"/>
    <x v="0"/>
    <n v="2"/>
    <n v="69345"/>
    <n v="651"/>
    <x v="4"/>
    <x v="0"/>
    <x v="0"/>
  </r>
  <r>
    <s v="LN-00306"/>
    <x v="8"/>
    <n v="5700"/>
    <n v="11.13"/>
    <n v="49.6"/>
    <x v="0"/>
    <x v="0"/>
    <n v="4"/>
    <n v="59445"/>
    <n v="656"/>
    <x v="4"/>
    <x v="1"/>
    <x v="0"/>
  </r>
  <r>
    <s v="LN-00307"/>
    <x v="7"/>
    <n v="30100"/>
    <n v="13.59"/>
    <n v="27"/>
    <x v="0"/>
    <x v="1"/>
    <n v="4"/>
    <n v="63742"/>
    <n v="537"/>
    <x v="0"/>
    <x v="7"/>
    <x v="0"/>
  </r>
  <r>
    <s v="LN-00308"/>
    <x v="1"/>
    <n v="2400"/>
    <n v="14.87"/>
    <n v="38.299999999999997"/>
    <x v="1"/>
    <x v="3"/>
    <n v="0"/>
    <n v="40311"/>
    <n v="582"/>
    <x v="0"/>
    <x v="3"/>
    <x v="1"/>
  </r>
  <r>
    <s v="LN-00309"/>
    <x v="7"/>
    <n v="33300"/>
    <n v="11.81"/>
    <n v="34.299999999999997"/>
    <x v="0"/>
    <x v="1"/>
    <n v="17"/>
    <n v="90104"/>
    <n v="583"/>
    <x v="0"/>
    <x v="3"/>
    <x v="0"/>
  </r>
  <r>
    <s v="LN-00310"/>
    <x v="5"/>
    <n v="23500"/>
    <n v="12.7"/>
    <n v="71.2"/>
    <x v="0"/>
    <x v="1"/>
    <n v="2"/>
    <n v="31847"/>
    <n v="599"/>
    <x v="0"/>
    <x v="2"/>
    <x v="0"/>
  </r>
  <r>
    <s v="LN-00311"/>
    <x v="9"/>
    <n v="32700"/>
    <n v="7.25"/>
    <n v="85.7"/>
    <x v="0"/>
    <x v="4"/>
    <n v="4"/>
    <n v="51955"/>
    <n v="783"/>
    <x v="3"/>
    <x v="6"/>
    <x v="0"/>
  </r>
  <r>
    <s v="LN-00312"/>
    <x v="4"/>
    <n v="12200"/>
    <n v="8.36"/>
    <n v="26"/>
    <x v="0"/>
    <x v="4"/>
    <n v="4"/>
    <n v="51955"/>
    <n v="783"/>
    <x v="3"/>
    <x v="7"/>
    <x v="0"/>
  </r>
  <r>
    <s v="LN-00313"/>
    <x v="6"/>
    <n v="35000"/>
    <n v="12.84"/>
    <n v="76.099999999999994"/>
    <x v="0"/>
    <x v="3"/>
    <n v="14"/>
    <n v="36601"/>
    <n v="693"/>
    <x v="4"/>
    <x v="2"/>
    <x v="0"/>
  </r>
  <r>
    <s v="LN-00314"/>
    <x v="4"/>
    <n v="49000"/>
    <n v="10.83"/>
    <n v="46.7"/>
    <x v="0"/>
    <x v="1"/>
    <n v="30"/>
    <n v="55744"/>
    <n v="632"/>
    <x v="1"/>
    <x v="1"/>
    <x v="0"/>
  </r>
  <r>
    <s v="LN-00315"/>
    <x v="5"/>
    <n v="2100"/>
    <n v="8.42"/>
    <n v="11.8"/>
    <x v="0"/>
    <x v="4"/>
    <n v="24"/>
    <n v="54293"/>
    <n v="696"/>
    <x v="4"/>
    <x v="5"/>
    <x v="0"/>
  </r>
  <r>
    <s v="LN-00316"/>
    <x v="1"/>
    <n v="13300"/>
    <n v="9.34"/>
    <n v="96.6"/>
    <x v="0"/>
    <x v="4"/>
    <n v="1"/>
    <n v="17239"/>
    <n v="801"/>
    <x v="3"/>
    <x v="6"/>
    <x v="1"/>
  </r>
  <r>
    <s v="LN-00317"/>
    <x v="4"/>
    <n v="42300"/>
    <n v="7.97"/>
    <n v="72.599999999999994"/>
    <x v="0"/>
    <x v="1"/>
    <n v="15"/>
    <n v="127340"/>
    <n v="759"/>
    <x v="3"/>
    <x v="2"/>
    <x v="0"/>
  </r>
  <r>
    <s v="LN-00318"/>
    <x v="8"/>
    <n v="34700"/>
    <n v="8.31"/>
    <n v="48.2"/>
    <x v="0"/>
    <x v="1"/>
    <n v="15"/>
    <n v="127340"/>
    <n v="759"/>
    <x v="3"/>
    <x v="1"/>
    <x v="0"/>
  </r>
  <r>
    <s v="LN-00319"/>
    <x v="8"/>
    <n v="40100"/>
    <n v="7.03"/>
    <n v="64.8"/>
    <x v="0"/>
    <x v="1"/>
    <n v="30"/>
    <n v="69250"/>
    <n v="841"/>
    <x v="3"/>
    <x v="4"/>
    <x v="0"/>
  </r>
  <r>
    <s v="LN-00320"/>
    <x v="3"/>
    <n v="25700"/>
    <n v="6.95"/>
    <n v="59.8"/>
    <x v="1"/>
    <x v="1"/>
    <n v="30"/>
    <n v="69250"/>
    <n v="841"/>
    <x v="3"/>
    <x v="0"/>
    <x v="0"/>
  </r>
  <r>
    <s v="LN-00321"/>
    <x v="5"/>
    <n v="29400"/>
    <n v="10.76"/>
    <n v="38.799999999999997"/>
    <x v="0"/>
    <x v="1"/>
    <n v="5"/>
    <n v="102385"/>
    <n v="819"/>
    <x v="3"/>
    <x v="3"/>
    <x v="0"/>
  </r>
  <r>
    <s v="LN-00322"/>
    <x v="2"/>
    <n v="32400"/>
    <n v="7.78"/>
    <n v="30.9"/>
    <x v="0"/>
    <x v="3"/>
    <n v="21"/>
    <n v="44963"/>
    <n v="734"/>
    <x v="2"/>
    <x v="3"/>
    <x v="0"/>
  </r>
  <r>
    <s v="LN-00323"/>
    <x v="1"/>
    <n v="21500"/>
    <n v="9.58"/>
    <n v="68.099999999999994"/>
    <x v="0"/>
    <x v="1"/>
    <n v="7"/>
    <n v="77637"/>
    <n v="829"/>
    <x v="3"/>
    <x v="4"/>
    <x v="0"/>
  </r>
  <r>
    <s v="LN-00324"/>
    <x v="7"/>
    <n v="25600"/>
    <n v="8.43"/>
    <n v="47.1"/>
    <x v="0"/>
    <x v="1"/>
    <n v="7"/>
    <n v="77637"/>
    <n v="829"/>
    <x v="3"/>
    <x v="1"/>
    <x v="0"/>
  </r>
  <r>
    <s v="LN-00325"/>
    <x v="7"/>
    <n v="22300"/>
    <n v="14.87"/>
    <n v="109.3"/>
    <x v="1"/>
    <x v="1"/>
    <n v="18"/>
    <n v="42167"/>
    <n v="583"/>
    <x v="0"/>
    <x v="6"/>
    <x v="0"/>
  </r>
  <r>
    <s v="LN-00326"/>
    <x v="6"/>
    <n v="6100"/>
    <n v="12.44"/>
    <n v="56.6"/>
    <x v="0"/>
    <x v="1"/>
    <n v="18"/>
    <n v="42167"/>
    <n v="583"/>
    <x v="0"/>
    <x v="0"/>
    <x v="0"/>
  </r>
  <r>
    <s v="LN-00327"/>
    <x v="6"/>
    <n v="48000"/>
    <n v="10.76"/>
    <n v="117.3"/>
    <x v="0"/>
    <x v="1"/>
    <n v="7"/>
    <n v="65633"/>
    <n v="801"/>
    <x v="3"/>
    <x v="6"/>
    <x v="0"/>
  </r>
  <r>
    <s v="LN-00328"/>
    <x v="6"/>
    <n v="29700"/>
    <n v="15.86"/>
    <n v="119.6"/>
    <x v="1"/>
    <x v="1"/>
    <n v="10"/>
    <n v="47419"/>
    <n v="541"/>
    <x v="0"/>
    <x v="6"/>
    <x v="0"/>
  </r>
  <r>
    <s v="LN-00329"/>
    <x v="8"/>
    <n v="22200"/>
    <n v="10.67"/>
    <n v="39.9"/>
    <x v="1"/>
    <x v="3"/>
    <n v="14"/>
    <n v="33944"/>
    <n v="743"/>
    <x v="2"/>
    <x v="3"/>
    <x v="0"/>
  </r>
  <r>
    <s v="LN-00330"/>
    <x v="3"/>
    <n v="21300"/>
    <n v="13.16"/>
    <n v="23"/>
    <x v="0"/>
    <x v="1"/>
    <n v="28"/>
    <n v="79780"/>
    <n v="636"/>
    <x v="1"/>
    <x v="7"/>
    <x v="0"/>
  </r>
  <r>
    <s v="LN-00331"/>
    <x v="0"/>
    <n v="44200"/>
    <n v="10.81"/>
    <n v="29.8"/>
    <x v="0"/>
    <x v="2"/>
    <n v="17"/>
    <n v="59967"/>
    <n v="582"/>
    <x v="0"/>
    <x v="7"/>
    <x v="0"/>
  </r>
  <r>
    <s v="LN-00332"/>
    <x v="9"/>
    <n v="30500"/>
    <n v="10.36"/>
    <n v="38.1"/>
    <x v="0"/>
    <x v="1"/>
    <n v="24"/>
    <n v="109435"/>
    <n v="850"/>
    <x v="3"/>
    <x v="3"/>
    <x v="0"/>
  </r>
  <r>
    <s v="LN-00333"/>
    <x v="0"/>
    <n v="7900"/>
    <n v="8.77"/>
    <n v="29.9"/>
    <x v="0"/>
    <x v="2"/>
    <n v="5"/>
    <n v="85642"/>
    <n v="692"/>
    <x v="4"/>
    <x v="7"/>
    <x v="0"/>
  </r>
  <r>
    <s v="LN-00334"/>
    <x v="9"/>
    <n v="39200"/>
    <n v="8.35"/>
    <n v="69.400000000000006"/>
    <x v="0"/>
    <x v="1"/>
    <n v="2"/>
    <n v="65383"/>
    <n v="840"/>
    <x v="3"/>
    <x v="4"/>
    <x v="0"/>
  </r>
  <r>
    <s v="LN-00335"/>
    <x v="5"/>
    <n v="8800"/>
    <n v="14.04"/>
    <n v="33.4"/>
    <x v="0"/>
    <x v="4"/>
    <n v="31"/>
    <n v="41677"/>
    <n v="615"/>
    <x v="1"/>
    <x v="3"/>
    <x v="0"/>
  </r>
  <r>
    <s v="LN-00336"/>
    <x v="6"/>
    <n v="28000"/>
    <n v="12.52"/>
    <n v="40.9"/>
    <x v="0"/>
    <x v="4"/>
    <n v="3"/>
    <n v="57707"/>
    <n v="629"/>
    <x v="1"/>
    <x v="1"/>
    <x v="0"/>
  </r>
  <r>
    <s v="LN-00337"/>
    <x v="4"/>
    <n v="17200"/>
    <n v="12.86"/>
    <n v="44.4"/>
    <x v="0"/>
    <x v="2"/>
    <n v="1"/>
    <n v="71779"/>
    <n v="577"/>
    <x v="0"/>
    <x v="1"/>
    <x v="1"/>
  </r>
  <r>
    <s v="LN-00338"/>
    <x v="0"/>
    <n v="47700"/>
    <n v="10.99"/>
    <n v="77.5"/>
    <x v="0"/>
    <x v="0"/>
    <n v="35"/>
    <n v="55533"/>
    <n v="783"/>
    <x v="3"/>
    <x v="2"/>
    <x v="0"/>
  </r>
  <r>
    <s v="LN-00339"/>
    <x v="6"/>
    <n v="28600"/>
    <n v="8.6999999999999993"/>
    <n v="64"/>
    <x v="0"/>
    <x v="0"/>
    <n v="17"/>
    <n v="89088"/>
    <n v="765"/>
    <x v="3"/>
    <x v="4"/>
    <x v="0"/>
  </r>
  <r>
    <s v="LN-00340"/>
    <x v="7"/>
    <n v="4500"/>
    <n v="11.88"/>
    <n v="22.8"/>
    <x v="0"/>
    <x v="4"/>
    <n v="2"/>
    <n v="30106"/>
    <n v="703"/>
    <x v="2"/>
    <x v="7"/>
    <x v="0"/>
  </r>
  <r>
    <s v="LN-00341"/>
    <x v="5"/>
    <n v="36100"/>
    <n v="12.44"/>
    <n v="145"/>
    <x v="0"/>
    <x v="4"/>
    <n v="2"/>
    <n v="30106"/>
    <n v="703"/>
    <x v="2"/>
    <x v="6"/>
    <x v="0"/>
  </r>
  <r>
    <s v="LN-00342"/>
    <x v="3"/>
    <n v="19700"/>
    <n v="10.74"/>
    <n v="25"/>
    <x v="0"/>
    <x v="2"/>
    <n v="10"/>
    <n v="79534"/>
    <n v="754"/>
    <x v="3"/>
    <x v="7"/>
    <x v="0"/>
  </r>
  <r>
    <s v="LN-00343"/>
    <x v="6"/>
    <n v="31300"/>
    <n v="11.41"/>
    <n v="37.4"/>
    <x v="0"/>
    <x v="2"/>
    <n v="10"/>
    <n v="79534"/>
    <n v="754"/>
    <x v="3"/>
    <x v="3"/>
    <x v="0"/>
  </r>
  <r>
    <s v="LN-00344"/>
    <x v="7"/>
    <n v="38600"/>
    <n v="10.6"/>
    <n v="31"/>
    <x v="0"/>
    <x v="1"/>
    <n v="2"/>
    <n v="78679"/>
    <n v="621"/>
    <x v="1"/>
    <x v="3"/>
    <x v="0"/>
  </r>
  <r>
    <s v="LN-00345"/>
    <x v="5"/>
    <n v="48500"/>
    <n v="8.6300000000000008"/>
    <n v="58.9"/>
    <x v="0"/>
    <x v="0"/>
    <n v="3"/>
    <n v="76451"/>
    <n v="745"/>
    <x v="2"/>
    <x v="0"/>
    <x v="0"/>
  </r>
  <r>
    <s v="LN-00346"/>
    <x v="1"/>
    <n v="33000"/>
    <n v="9.6"/>
    <n v="38"/>
    <x v="0"/>
    <x v="0"/>
    <n v="7"/>
    <n v="67675"/>
    <n v="736"/>
    <x v="2"/>
    <x v="3"/>
    <x v="0"/>
  </r>
  <r>
    <s v="LN-00347"/>
    <x v="0"/>
    <n v="25800"/>
    <n v="10.98"/>
    <n v="37"/>
    <x v="0"/>
    <x v="0"/>
    <n v="16"/>
    <n v="49464"/>
    <n v="736"/>
    <x v="2"/>
    <x v="3"/>
    <x v="0"/>
  </r>
  <r>
    <s v="LN-00348"/>
    <x v="3"/>
    <n v="20100"/>
    <n v="14.98"/>
    <n v="26.1"/>
    <x v="1"/>
    <x v="1"/>
    <n v="29"/>
    <n v="65165"/>
    <n v="582"/>
    <x v="0"/>
    <x v="7"/>
    <x v="0"/>
  </r>
  <r>
    <s v="LN-00349"/>
    <x v="6"/>
    <n v="19900"/>
    <n v="9.8699999999999992"/>
    <n v="53.6"/>
    <x v="0"/>
    <x v="4"/>
    <n v="17"/>
    <n v="55935"/>
    <n v="783"/>
    <x v="3"/>
    <x v="0"/>
    <x v="0"/>
  </r>
  <r>
    <s v="LN-00350"/>
    <x v="4"/>
    <n v="17200"/>
    <n v="10.56"/>
    <n v="9.8000000000000007"/>
    <x v="1"/>
    <x v="0"/>
    <n v="2"/>
    <n v="131318"/>
    <n v="574"/>
    <x v="0"/>
    <x v="5"/>
    <x v="0"/>
  </r>
  <r>
    <s v="LN-00351"/>
    <x v="6"/>
    <n v="26100"/>
    <n v="12.42"/>
    <n v="19.899999999999999"/>
    <x v="0"/>
    <x v="1"/>
    <n v="11"/>
    <n v="101722"/>
    <n v="648"/>
    <x v="1"/>
    <x v="5"/>
    <x v="0"/>
  </r>
  <r>
    <s v="LN-00352"/>
    <x v="7"/>
    <n v="12600"/>
    <n v="11.36"/>
    <n v="62.4"/>
    <x v="1"/>
    <x v="1"/>
    <n v="1"/>
    <n v="25301"/>
    <n v="609"/>
    <x v="1"/>
    <x v="4"/>
    <x v="1"/>
  </r>
  <r>
    <s v="LN-00353"/>
    <x v="2"/>
    <n v="2400"/>
    <n v="8.51"/>
    <n v="29.5"/>
    <x v="0"/>
    <x v="0"/>
    <n v="2"/>
    <n v="40669"/>
    <n v="774"/>
    <x v="3"/>
    <x v="7"/>
    <x v="0"/>
  </r>
  <r>
    <s v="LN-00354"/>
    <x v="9"/>
    <n v="2600"/>
    <n v="12.05"/>
    <n v="28.9"/>
    <x v="0"/>
    <x v="0"/>
    <n v="2"/>
    <n v="40669"/>
    <n v="774"/>
    <x v="3"/>
    <x v="7"/>
    <x v="0"/>
  </r>
  <r>
    <s v="LN-00355"/>
    <x v="7"/>
    <n v="39700"/>
    <n v="10.93"/>
    <n v="21.3"/>
    <x v="0"/>
    <x v="2"/>
    <n v="2"/>
    <n v="103644"/>
    <n v="761"/>
    <x v="3"/>
    <x v="7"/>
    <x v="0"/>
  </r>
  <r>
    <s v="LN-00356"/>
    <x v="1"/>
    <n v="9300"/>
    <n v="8.15"/>
    <n v="38.4"/>
    <x v="0"/>
    <x v="1"/>
    <n v="2"/>
    <n v="32933"/>
    <n v="720"/>
    <x v="2"/>
    <x v="3"/>
    <x v="0"/>
  </r>
  <r>
    <s v="LN-00357"/>
    <x v="4"/>
    <n v="19900"/>
    <n v="13.08"/>
    <n v="49.5"/>
    <x v="0"/>
    <x v="1"/>
    <n v="2"/>
    <n v="63005"/>
    <n v="644"/>
    <x v="1"/>
    <x v="1"/>
    <x v="0"/>
  </r>
  <r>
    <s v="LN-00358"/>
    <x v="5"/>
    <n v="49700"/>
    <n v="9.3000000000000007"/>
    <n v="37.5"/>
    <x v="0"/>
    <x v="1"/>
    <n v="12"/>
    <n v="48886"/>
    <n v="831"/>
    <x v="3"/>
    <x v="3"/>
    <x v="0"/>
  </r>
  <r>
    <s v="LN-00359"/>
    <x v="2"/>
    <n v="18800"/>
    <n v="9"/>
    <n v="26.7"/>
    <x v="0"/>
    <x v="1"/>
    <n v="12"/>
    <n v="48886"/>
    <n v="831"/>
    <x v="3"/>
    <x v="7"/>
    <x v="0"/>
  </r>
  <r>
    <s v="LN-00360"/>
    <x v="5"/>
    <n v="19000"/>
    <n v="6.03"/>
    <n v="54.1"/>
    <x v="1"/>
    <x v="1"/>
    <n v="9"/>
    <n v="78943"/>
    <n v="846"/>
    <x v="3"/>
    <x v="0"/>
    <x v="0"/>
  </r>
  <r>
    <s v="LN-00361"/>
    <x v="7"/>
    <n v="8100"/>
    <n v="8.1999999999999993"/>
    <n v="64.099999999999994"/>
    <x v="1"/>
    <x v="3"/>
    <n v="9"/>
    <n v="20963"/>
    <n v="725"/>
    <x v="2"/>
    <x v="4"/>
    <x v="0"/>
  </r>
  <r>
    <s v="LN-00362"/>
    <x v="1"/>
    <n v="49500"/>
    <n v="13.08"/>
    <n v="86.4"/>
    <x v="0"/>
    <x v="1"/>
    <n v="33"/>
    <n v="81309"/>
    <n v="576"/>
    <x v="0"/>
    <x v="6"/>
    <x v="0"/>
  </r>
  <r>
    <s v="LN-00363"/>
    <x v="7"/>
    <n v="9200"/>
    <n v="14.49"/>
    <n v="55.4"/>
    <x v="1"/>
    <x v="1"/>
    <n v="33"/>
    <n v="81309"/>
    <n v="576"/>
    <x v="0"/>
    <x v="0"/>
    <x v="0"/>
  </r>
  <r>
    <s v="LN-00364"/>
    <x v="9"/>
    <n v="26800"/>
    <n v="7.81"/>
    <n v="55.1"/>
    <x v="0"/>
    <x v="2"/>
    <n v="10"/>
    <n v="67451"/>
    <n v="814"/>
    <x v="3"/>
    <x v="0"/>
    <x v="0"/>
  </r>
  <r>
    <s v="LN-00365"/>
    <x v="9"/>
    <n v="27200"/>
    <n v="10.83"/>
    <n v="54"/>
    <x v="0"/>
    <x v="2"/>
    <n v="10"/>
    <n v="67451"/>
    <n v="814"/>
    <x v="3"/>
    <x v="0"/>
    <x v="0"/>
  </r>
  <r>
    <s v="LN-00366"/>
    <x v="0"/>
    <n v="33100"/>
    <n v="12.62"/>
    <n v="67.8"/>
    <x v="1"/>
    <x v="1"/>
    <n v="3"/>
    <n v="54364"/>
    <n v="560"/>
    <x v="0"/>
    <x v="4"/>
    <x v="0"/>
  </r>
  <r>
    <s v="LN-00367"/>
    <x v="1"/>
    <n v="45700"/>
    <n v="9.33"/>
    <n v="76"/>
    <x v="0"/>
    <x v="1"/>
    <n v="4"/>
    <n v="100637"/>
    <n v="850"/>
    <x v="3"/>
    <x v="2"/>
    <x v="0"/>
  </r>
  <r>
    <s v="LN-00368"/>
    <x v="5"/>
    <n v="32100"/>
    <n v="9.17"/>
    <n v="63.2"/>
    <x v="0"/>
    <x v="1"/>
    <n v="4"/>
    <n v="100637"/>
    <n v="850"/>
    <x v="3"/>
    <x v="4"/>
    <x v="0"/>
  </r>
  <r>
    <s v="LN-00369"/>
    <x v="2"/>
    <n v="14600"/>
    <n v="8.36"/>
    <n v="66.099999999999994"/>
    <x v="0"/>
    <x v="1"/>
    <n v="1"/>
    <n v="81067"/>
    <n v="850"/>
    <x v="3"/>
    <x v="4"/>
    <x v="1"/>
  </r>
  <r>
    <s v="LN-00370"/>
    <x v="8"/>
    <n v="6200"/>
    <n v="7.94"/>
    <n v="50.7"/>
    <x v="0"/>
    <x v="4"/>
    <n v="4"/>
    <n v="20854"/>
    <n v="838"/>
    <x v="3"/>
    <x v="0"/>
    <x v="0"/>
  </r>
  <r>
    <s v="LN-00371"/>
    <x v="5"/>
    <n v="12300"/>
    <n v="9.32"/>
    <n v="34.200000000000003"/>
    <x v="0"/>
    <x v="1"/>
    <n v="5"/>
    <n v="22799"/>
    <n v="779"/>
    <x v="3"/>
    <x v="3"/>
    <x v="0"/>
  </r>
  <r>
    <s v="LN-00372"/>
    <x v="3"/>
    <n v="8800"/>
    <n v="13.28"/>
    <n v="48.2"/>
    <x v="1"/>
    <x v="0"/>
    <n v="24"/>
    <n v="31860"/>
    <n v="585"/>
    <x v="0"/>
    <x v="1"/>
    <x v="0"/>
  </r>
  <r>
    <s v="LN-00373"/>
    <x v="5"/>
    <n v="11000"/>
    <n v="7.78"/>
    <n v="45.1"/>
    <x v="0"/>
    <x v="4"/>
    <n v="3"/>
    <n v="35035"/>
    <n v="779"/>
    <x v="3"/>
    <x v="1"/>
    <x v="0"/>
  </r>
  <r>
    <s v="LN-00374"/>
    <x v="0"/>
    <n v="42200"/>
    <n v="13.39"/>
    <n v="69.7"/>
    <x v="1"/>
    <x v="0"/>
    <n v="7"/>
    <n v="53878"/>
    <n v="589"/>
    <x v="0"/>
    <x v="4"/>
    <x v="0"/>
  </r>
  <r>
    <s v="LN-00375"/>
    <x v="9"/>
    <n v="13400"/>
    <n v="14.29"/>
    <n v="51.9"/>
    <x v="0"/>
    <x v="1"/>
    <n v="1"/>
    <n v="54791"/>
    <n v="621"/>
    <x v="1"/>
    <x v="0"/>
    <x v="1"/>
  </r>
  <r>
    <s v="LN-00376"/>
    <x v="8"/>
    <n v="10100"/>
    <n v="9.89"/>
    <n v="67.099999999999994"/>
    <x v="0"/>
    <x v="1"/>
    <n v="2"/>
    <n v="62677"/>
    <n v="673"/>
    <x v="4"/>
    <x v="4"/>
    <x v="0"/>
  </r>
  <r>
    <s v="LN-00377"/>
    <x v="1"/>
    <n v="23900"/>
    <n v="10.64"/>
    <n v="76.8"/>
    <x v="0"/>
    <x v="1"/>
    <n v="1"/>
    <n v="31521"/>
    <n v="730"/>
    <x v="2"/>
    <x v="2"/>
    <x v="1"/>
  </r>
  <r>
    <s v="LN-00378"/>
    <x v="7"/>
    <n v="8300"/>
    <n v="8.84"/>
    <n v="41"/>
    <x v="1"/>
    <x v="1"/>
    <n v="18"/>
    <n v="35385"/>
    <n v="674"/>
    <x v="4"/>
    <x v="1"/>
    <x v="0"/>
  </r>
  <r>
    <s v="LN-00379"/>
    <x v="6"/>
    <n v="15400"/>
    <n v="8.19"/>
    <n v="20.9"/>
    <x v="0"/>
    <x v="4"/>
    <n v="15"/>
    <n v="88548"/>
    <n v="819"/>
    <x v="3"/>
    <x v="7"/>
    <x v="0"/>
  </r>
  <r>
    <s v="LN-00380"/>
    <x v="6"/>
    <n v="38100"/>
    <n v="9.17"/>
    <n v="64.5"/>
    <x v="0"/>
    <x v="0"/>
    <n v="0"/>
    <n v="41212"/>
    <n v="701"/>
    <x v="2"/>
    <x v="4"/>
    <x v="1"/>
  </r>
  <r>
    <s v="LN-00381"/>
    <x v="5"/>
    <n v="13700"/>
    <n v="15.64"/>
    <n v="36.200000000000003"/>
    <x v="1"/>
    <x v="4"/>
    <n v="2"/>
    <n v="29277"/>
    <n v="555"/>
    <x v="0"/>
    <x v="3"/>
    <x v="0"/>
  </r>
  <r>
    <s v="LN-00382"/>
    <x v="9"/>
    <n v="26500"/>
    <n v="12.88"/>
    <n v="30.3"/>
    <x v="1"/>
    <x v="2"/>
    <n v="6"/>
    <n v="69849"/>
    <n v="578"/>
    <x v="0"/>
    <x v="3"/>
    <x v="0"/>
  </r>
  <r>
    <s v="LN-00383"/>
    <x v="1"/>
    <n v="21000"/>
    <n v="9.4499999999999993"/>
    <n v="121.8"/>
    <x v="0"/>
    <x v="0"/>
    <n v="16"/>
    <n v="27000"/>
    <n v="674"/>
    <x v="4"/>
    <x v="6"/>
    <x v="0"/>
  </r>
  <r>
    <s v="LN-00384"/>
    <x v="9"/>
    <n v="22800"/>
    <n v="10.199999999999999"/>
    <n v="37.200000000000003"/>
    <x v="0"/>
    <x v="1"/>
    <n v="4"/>
    <n v="32850"/>
    <n v="628"/>
    <x v="1"/>
    <x v="3"/>
    <x v="0"/>
  </r>
  <r>
    <s v="LN-00385"/>
    <x v="3"/>
    <n v="13000"/>
    <n v="11.03"/>
    <n v="16.3"/>
    <x v="0"/>
    <x v="1"/>
    <n v="14"/>
    <n v="74791"/>
    <n v="641"/>
    <x v="1"/>
    <x v="5"/>
    <x v="0"/>
  </r>
  <r>
    <s v="LN-00386"/>
    <x v="7"/>
    <n v="35400"/>
    <n v="12.36"/>
    <n v="36.299999999999997"/>
    <x v="0"/>
    <x v="1"/>
    <n v="14"/>
    <n v="74791"/>
    <n v="641"/>
    <x v="1"/>
    <x v="3"/>
    <x v="0"/>
  </r>
  <r>
    <s v="LN-00387"/>
    <x v="0"/>
    <n v="5800"/>
    <n v="14.02"/>
    <n v="28.6"/>
    <x v="1"/>
    <x v="0"/>
    <n v="20"/>
    <n v="57272"/>
    <n v="640"/>
    <x v="1"/>
    <x v="7"/>
    <x v="0"/>
  </r>
  <r>
    <s v="LN-00388"/>
    <x v="7"/>
    <n v="4200"/>
    <n v="11.24"/>
    <n v="44.9"/>
    <x v="1"/>
    <x v="1"/>
    <n v="1"/>
    <n v="51267"/>
    <n v="619"/>
    <x v="1"/>
    <x v="1"/>
    <x v="1"/>
  </r>
  <r>
    <s v="LN-00389"/>
    <x v="9"/>
    <n v="10200"/>
    <n v="14.52"/>
    <n v="49"/>
    <x v="1"/>
    <x v="1"/>
    <n v="1"/>
    <n v="51267"/>
    <n v="619"/>
    <x v="1"/>
    <x v="1"/>
    <x v="1"/>
  </r>
  <r>
    <s v="LN-00390"/>
    <x v="4"/>
    <n v="8200"/>
    <n v="12.25"/>
    <n v="16.7"/>
    <x v="0"/>
    <x v="1"/>
    <n v="0"/>
    <n v="50342"/>
    <n v="592"/>
    <x v="0"/>
    <x v="5"/>
    <x v="1"/>
  </r>
  <r>
    <s v="LN-00391"/>
    <x v="1"/>
    <n v="4900"/>
    <n v="9.18"/>
    <n v="59"/>
    <x v="0"/>
    <x v="3"/>
    <n v="18"/>
    <n v="44951"/>
    <n v="828"/>
    <x v="3"/>
    <x v="0"/>
    <x v="0"/>
  </r>
  <r>
    <s v="LN-00392"/>
    <x v="3"/>
    <n v="30600"/>
    <n v="9.93"/>
    <n v="100.4"/>
    <x v="1"/>
    <x v="1"/>
    <n v="1"/>
    <n v="65650"/>
    <n v="704"/>
    <x v="2"/>
    <x v="6"/>
    <x v="1"/>
  </r>
  <r>
    <s v="LN-00393"/>
    <x v="2"/>
    <n v="20000"/>
    <n v="12.16"/>
    <n v="30.1"/>
    <x v="0"/>
    <x v="1"/>
    <n v="5"/>
    <n v="57129"/>
    <n v="748"/>
    <x v="2"/>
    <x v="3"/>
    <x v="0"/>
  </r>
  <r>
    <s v="LN-00394"/>
    <x v="9"/>
    <n v="6100"/>
    <n v="10.74"/>
    <n v="47.2"/>
    <x v="1"/>
    <x v="3"/>
    <n v="7"/>
    <n v="17078"/>
    <n v="671"/>
    <x v="4"/>
    <x v="1"/>
    <x v="0"/>
  </r>
  <r>
    <s v="LN-00395"/>
    <x v="4"/>
    <n v="24900"/>
    <n v="10.17"/>
    <n v="24"/>
    <x v="0"/>
    <x v="1"/>
    <n v="7"/>
    <n v="53539"/>
    <n v="799"/>
    <x v="3"/>
    <x v="7"/>
    <x v="0"/>
  </r>
  <r>
    <s v="LN-00396"/>
    <x v="8"/>
    <n v="19300"/>
    <n v="10.17"/>
    <n v="44"/>
    <x v="0"/>
    <x v="1"/>
    <n v="7"/>
    <n v="53539"/>
    <n v="799"/>
    <x v="3"/>
    <x v="1"/>
    <x v="0"/>
  </r>
  <r>
    <s v="LN-00397"/>
    <x v="9"/>
    <n v="33800"/>
    <n v="6.85"/>
    <n v="36.4"/>
    <x v="0"/>
    <x v="1"/>
    <n v="11"/>
    <n v="101319"/>
    <n v="793"/>
    <x v="3"/>
    <x v="3"/>
    <x v="0"/>
  </r>
  <r>
    <s v="LN-00398"/>
    <x v="6"/>
    <n v="11100"/>
    <n v="9.5299999999999994"/>
    <n v="48.1"/>
    <x v="1"/>
    <x v="1"/>
    <n v="0"/>
    <n v="70784"/>
    <n v="678"/>
    <x v="4"/>
    <x v="1"/>
    <x v="1"/>
  </r>
  <r>
    <s v="LN-00399"/>
    <x v="2"/>
    <n v="20400"/>
    <n v="12.24"/>
    <n v="60.2"/>
    <x v="1"/>
    <x v="1"/>
    <n v="1"/>
    <n v="135142"/>
    <n v="686"/>
    <x v="4"/>
    <x v="4"/>
    <x v="1"/>
  </r>
  <r>
    <s v="LN-00400"/>
    <x v="4"/>
    <n v="14900"/>
    <n v="14.15"/>
    <n v="32"/>
    <x v="0"/>
    <x v="2"/>
    <n v="7"/>
    <n v="94525"/>
    <n v="630"/>
    <x v="1"/>
    <x v="3"/>
    <x v="0"/>
  </r>
  <r>
    <s v="LN-00401"/>
    <x v="6"/>
    <n v="15500"/>
    <n v="8.4499999999999993"/>
    <n v="52.3"/>
    <x v="0"/>
    <x v="0"/>
    <n v="9"/>
    <n v="55754"/>
    <n v="818"/>
    <x v="3"/>
    <x v="0"/>
    <x v="0"/>
  </r>
  <r>
    <s v="LN-00402"/>
    <x v="7"/>
    <n v="20100"/>
    <n v="12.95"/>
    <n v="55.1"/>
    <x v="1"/>
    <x v="1"/>
    <n v="14"/>
    <n v="43022"/>
    <n v="558"/>
    <x v="0"/>
    <x v="0"/>
    <x v="0"/>
  </r>
  <r>
    <s v="LN-00403"/>
    <x v="7"/>
    <n v="34700"/>
    <n v="10.54"/>
    <n v="29.1"/>
    <x v="0"/>
    <x v="1"/>
    <n v="3"/>
    <n v="62522"/>
    <n v="700"/>
    <x v="2"/>
    <x v="7"/>
    <x v="0"/>
  </r>
  <r>
    <s v="LN-00404"/>
    <x v="3"/>
    <n v="3400"/>
    <n v="10.039999999999999"/>
    <n v="13.2"/>
    <x v="1"/>
    <x v="2"/>
    <n v="6"/>
    <n v="137015"/>
    <n v="741"/>
    <x v="2"/>
    <x v="5"/>
    <x v="0"/>
  </r>
  <r>
    <s v="LN-00405"/>
    <x v="8"/>
    <n v="39900"/>
    <n v="7.25"/>
    <n v="77.599999999999994"/>
    <x v="0"/>
    <x v="1"/>
    <n v="10"/>
    <n v="109449"/>
    <n v="794"/>
    <x v="3"/>
    <x v="2"/>
    <x v="0"/>
  </r>
  <r>
    <s v="LN-00406"/>
    <x v="3"/>
    <n v="24700"/>
    <n v="12.46"/>
    <n v="23.3"/>
    <x v="0"/>
    <x v="1"/>
    <n v="24"/>
    <n v="105131"/>
    <n v="634"/>
    <x v="1"/>
    <x v="7"/>
    <x v="0"/>
  </r>
  <r>
    <s v="LN-00407"/>
    <x v="7"/>
    <n v="33900"/>
    <n v="12.49"/>
    <n v="24.2"/>
    <x v="0"/>
    <x v="1"/>
    <n v="24"/>
    <n v="105131"/>
    <n v="634"/>
    <x v="1"/>
    <x v="7"/>
    <x v="0"/>
  </r>
  <r>
    <s v="LN-00408"/>
    <x v="1"/>
    <n v="44600"/>
    <n v="6.46"/>
    <n v="98.4"/>
    <x v="0"/>
    <x v="4"/>
    <n v="0"/>
    <n v="52919"/>
    <n v="820"/>
    <x v="3"/>
    <x v="6"/>
    <x v="1"/>
  </r>
  <r>
    <s v="LN-00409"/>
    <x v="7"/>
    <n v="25000"/>
    <n v="8.91"/>
    <n v="67.400000000000006"/>
    <x v="1"/>
    <x v="4"/>
    <n v="0"/>
    <n v="52919"/>
    <n v="820"/>
    <x v="3"/>
    <x v="4"/>
    <x v="1"/>
  </r>
  <r>
    <s v="LN-00410"/>
    <x v="4"/>
    <n v="48500"/>
    <n v="11.66"/>
    <n v="75.900000000000006"/>
    <x v="0"/>
    <x v="1"/>
    <n v="2"/>
    <n v="72256"/>
    <n v="704"/>
    <x v="2"/>
    <x v="2"/>
    <x v="0"/>
  </r>
  <r>
    <s v="LN-00411"/>
    <x v="1"/>
    <n v="47200"/>
    <n v="13"/>
    <n v="21.4"/>
    <x v="0"/>
    <x v="0"/>
    <n v="7"/>
    <n v="117172"/>
    <n v="716"/>
    <x v="2"/>
    <x v="7"/>
    <x v="0"/>
  </r>
  <r>
    <s v="LN-00412"/>
    <x v="2"/>
    <n v="39700"/>
    <n v="7.59"/>
    <n v="65.400000000000006"/>
    <x v="0"/>
    <x v="0"/>
    <n v="13"/>
    <n v="58731"/>
    <n v="754"/>
    <x v="3"/>
    <x v="4"/>
    <x v="0"/>
  </r>
  <r>
    <s v="LN-00413"/>
    <x v="0"/>
    <n v="17000"/>
    <n v="8.58"/>
    <n v="33.700000000000003"/>
    <x v="0"/>
    <x v="1"/>
    <n v="20"/>
    <n v="71191"/>
    <n v="830"/>
    <x v="3"/>
    <x v="3"/>
    <x v="0"/>
  </r>
  <r>
    <s v="LN-00414"/>
    <x v="6"/>
    <n v="36400"/>
    <n v="15.11"/>
    <n v="37.6"/>
    <x v="0"/>
    <x v="1"/>
    <n v="2"/>
    <n v="73366"/>
    <n v="572"/>
    <x v="0"/>
    <x v="3"/>
    <x v="0"/>
  </r>
  <r>
    <s v="LN-00415"/>
    <x v="0"/>
    <n v="34200"/>
    <n v="15.53"/>
    <n v="73.900000000000006"/>
    <x v="1"/>
    <x v="4"/>
    <n v="6"/>
    <n v="42400"/>
    <n v="545"/>
    <x v="0"/>
    <x v="2"/>
    <x v="0"/>
  </r>
  <r>
    <s v="LN-00416"/>
    <x v="9"/>
    <n v="22100"/>
    <n v="8.42"/>
    <n v="47.8"/>
    <x v="0"/>
    <x v="1"/>
    <n v="5"/>
    <n v="29087"/>
    <n v="808"/>
    <x v="3"/>
    <x v="1"/>
    <x v="0"/>
  </r>
  <r>
    <s v="LN-00417"/>
    <x v="1"/>
    <n v="9800"/>
    <n v="7.99"/>
    <n v="54.2"/>
    <x v="1"/>
    <x v="1"/>
    <n v="5"/>
    <n v="29087"/>
    <n v="808"/>
    <x v="3"/>
    <x v="0"/>
    <x v="0"/>
  </r>
  <r>
    <s v="LN-00418"/>
    <x v="6"/>
    <n v="7000"/>
    <n v="11.75"/>
    <n v="26.4"/>
    <x v="0"/>
    <x v="1"/>
    <n v="4"/>
    <n v="41748"/>
    <n v="781"/>
    <x v="3"/>
    <x v="7"/>
    <x v="0"/>
  </r>
  <r>
    <s v="LN-00419"/>
    <x v="1"/>
    <n v="12900"/>
    <n v="12.02"/>
    <n v="26.4"/>
    <x v="1"/>
    <x v="1"/>
    <n v="10"/>
    <n v="46787"/>
    <n v="635"/>
    <x v="1"/>
    <x v="7"/>
    <x v="0"/>
  </r>
  <r>
    <s v="LN-00420"/>
    <x v="0"/>
    <n v="32200"/>
    <n v="10.02"/>
    <n v="45.1"/>
    <x v="0"/>
    <x v="2"/>
    <n v="17"/>
    <n v="57507"/>
    <n v="850"/>
    <x v="3"/>
    <x v="1"/>
    <x v="0"/>
  </r>
  <r>
    <s v="LN-00421"/>
    <x v="8"/>
    <n v="11300"/>
    <n v="10.33"/>
    <n v="47.5"/>
    <x v="0"/>
    <x v="1"/>
    <n v="18"/>
    <n v="31671"/>
    <n v="662"/>
    <x v="4"/>
    <x v="1"/>
    <x v="0"/>
  </r>
  <r>
    <s v="LN-00422"/>
    <x v="8"/>
    <n v="18000"/>
    <n v="10.31"/>
    <n v="44.6"/>
    <x v="0"/>
    <x v="1"/>
    <n v="14"/>
    <n v="74246"/>
    <n v="836"/>
    <x v="3"/>
    <x v="1"/>
    <x v="0"/>
  </r>
  <r>
    <s v="LN-00423"/>
    <x v="5"/>
    <n v="36900"/>
    <n v="10.99"/>
    <n v="50.7"/>
    <x v="0"/>
    <x v="1"/>
    <n v="14"/>
    <n v="74246"/>
    <n v="836"/>
    <x v="3"/>
    <x v="0"/>
    <x v="0"/>
  </r>
  <r>
    <s v="LN-00424"/>
    <x v="4"/>
    <n v="20800"/>
    <n v="12.8"/>
    <n v="52.9"/>
    <x v="0"/>
    <x v="4"/>
    <n v="30"/>
    <n v="46283"/>
    <n v="650"/>
    <x v="4"/>
    <x v="0"/>
    <x v="0"/>
  </r>
  <r>
    <s v="LN-00425"/>
    <x v="5"/>
    <n v="40000"/>
    <n v="10.08"/>
    <n v="107.2"/>
    <x v="0"/>
    <x v="1"/>
    <n v="9"/>
    <n v="77060"/>
    <n v="850"/>
    <x v="3"/>
    <x v="6"/>
    <x v="0"/>
  </r>
  <r>
    <s v="LN-00426"/>
    <x v="3"/>
    <n v="12100"/>
    <n v="11.16"/>
    <n v="54.6"/>
    <x v="0"/>
    <x v="2"/>
    <n v="1"/>
    <n v="79686"/>
    <n v="751"/>
    <x v="3"/>
    <x v="0"/>
    <x v="1"/>
  </r>
  <r>
    <s v="LN-00427"/>
    <x v="5"/>
    <n v="49200"/>
    <n v="14.9"/>
    <n v="69.400000000000006"/>
    <x v="1"/>
    <x v="1"/>
    <n v="1"/>
    <n v="132747"/>
    <n v="584"/>
    <x v="0"/>
    <x v="4"/>
    <x v="1"/>
  </r>
  <r>
    <s v="LN-00428"/>
    <x v="8"/>
    <n v="21600"/>
    <n v="8.8000000000000007"/>
    <n v="21.5"/>
    <x v="0"/>
    <x v="2"/>
    <n v="33"/>
    <n v="90781"/>
    <n v="850"/>
    <x v="3"/>
    <x v="7"/>
    <x v="0"/>
  </r>
  <r>
    <s v="LN-00429"/>
    <x v="0"/>
    <n v="12000"/>
    <n v="13.61"/>
    <n v="46.6"/>
    <x v="0"/>
    <x v="4"/>
    <n v="6"/>
    <n v="28195"/>
    <n v="579"/>
    <x v="0"/>
    <x v="1"/>
    <x v="0"/>
  </r>
  <r>
    <s v="LN-00430"/>
    <x v="0"/>
    <n v="33200"/>
    <n v="10.3"/>
    <n v="58.6"/>
    <x v="0"/>
    <x v="0"/>
    <n v="1"/>
    <n v="55827"/>
    <n v="772"/>
    <x v="3"/>
    <x v="0"/>
    <x v="1"/>
  </r>
  <r>
    <s v="LN-00431"/>
    <x v="2"/>
    <n v="30200"/>
    <n v="11.38"/>
    <n v="31.8"/>
    <x v="0"/>
    <x v="1"/>
    <n v="3"/>
    <n v="96677"/>
    <n v="661"/>
    <x v="4"/>
    <x v="3"/>
    <x v="0"/>
  </r>
  <r>
    <s v="LN-00432"/>
    <x v="1"/>
    <n v="8000"/>
    <n v="7.22"/>
    <n v="23.8"/>
    <x v="0"/>
    <x v="1"/>
    <n v="22"/>
    <n v="78653"/>
    <n v="786"/>
    <x v="3"/>
    <x v="7"/>
    <x v="0"/>
  </r>
  <r>
    <s v="LN-00433"/>
    <x v="2"/>
    <n v="26900"/>
    <n v="8.5299999999999994"/>
    <n v="51.9"/>
    <x v="0"/>
    <x v="1"/>
    <n v="20"/>
    <n v="117130"/>
    <n v="850"/>
    <x v="3"/>
    <x v="0"/>
    <x v="0"/>
  </r>
  <r>
    <s v="LN-00434"/>
    <x v="6"/>
    <n v="30800"/>
    <n v="5.86"/>
    <n v="60.2"/>
    <x v="0"/>
    <x v="1"/>
    <n v="20"/>
    <n v="117130"/>
    <n v="850"/>
    <x v="3"/>
    <x v="4"/>
    <x v="0"/>
  </r>
  <r>
    <s v="LN-00435"/>
    <x v="5"/>
    <n v="14300"/>
    <n v="6.87"/>
    <n v="23.6"/>
    <x v="0"/>
    <x v="2"/>
    <n v="10"/>
    <n v="125043"/>
    <n v="813"/>
    <x v="3"/>
    <x v="7"/>
    <x v="0"/>
  </r>
  <r>
    <s v="LN-00436"/>
    <x v="8"/>
    <n v="3900"/>
    <n v="13.91"/>
    <n v="24.5"/>
    <x v="0"/>
    <x v="1"/>
    <n v="3"/>
    <n v="71139"/>
    <n v="637"/>
    <x v="1"/>
    <x v="7"/>
    <x v="0"/>
  </r>
  <r>
    <s v="LN-00437"/>
    <x v="2"/>
    <n v="49800"/>
    <n v="8.52"/>
    <n v="52.7"/>
    <x v="0"/>
    <x v="2"/>
    <n v="14"/>
    <n v="52736"/>
    <n v="850"/>
    <x v="3"/>
    <x v="0"/>
    <x v="0"/>
  </r>
  <r>
    <s v="LN-00438"/>
    <x v="5"/>
    <n v="24000"/>
    <n v="11.19"/>
    <n v="77.8"/>
    <x v="0"/>
    <x v="2"/>
    <n v="11"/>
    <n v="43058"/>
    <n v="709"/>
    <x v="2"/>
    <x v="2"/>
    <x v="0"/>
  </r>
  <r>
    <s v="LN-00439"/>
    <x v="2"/>
    <n v="9800"/>
    <n v="8.3800000000000008"/>
    <n v="29.8"/>
    <x v="0"/>
    <x v="1"/>
    <n v="3"/>
    <n v="36926"/>
    <n v="817"/>
    <x v="3"/>
    <x v="7"/>
    <x v="0"/>
  </r>
  <r>
    <s v="LN-00440"/>
    <x v="7"/>
    <n v="26000"/>
    <n v="14.51"/>
    <n v="61.7"/>
    <x v="0"/>
    <x v="1"/>
    <n v="30"/>
    <n v="90383"/>
    <n v="544"/>
    <x v="0"/>
    <x v="4"/>
    <x v="0"/>
  </r>
  <r>
    <s v="LN-00441"/>
    <x v="1"/>
    <n v="31700"/>
    <n v="6.22"/>
    <n v="66.8"/>
    <x v="0"/>
    <x v="2"/>
    <n v="8"/>
    <n v="43512"/>
    <n v="850"/>
    <x v="3"/>
    <x v="4"/>
    <x v="0"/>
  </r>
  <r>
    <s v="LN-00442"/>
    <x v="4"/>
    <n v="18100"/>
    <n v="9.7200000000000006"/>
    <n v="44"/>
    <x v="0"/>
    <x v="2"/>
    <n v="8"/>
    <n v="43512"/>
    <n v="850"/>
    <x v="3"/>
    <x v="1"/>
    <x v="0"/>
  </r>
  <r>
    <s v="LN-00443"/>
    <x v="7"/>
    <n v="7000"/>
    <n v="8.5"/>
    <n v="54.8"/>
    <x v="0"/>
    <x v="0"/>
    <n v="3"/>
    <n v="93191"/>
    <n v="743"/>
    <x v="2"/>
    <x v="0"/>
    <x v="0"/>
  </r>
  <r>
    <s v="LN-00444"/>
    <x v="9"/>
    <n v="25100"/>
    <n v="10.83"/>
    <n v="68"/>
    <x v="1"/>
    <x v="3"/>
    <n v="30"/>
    <n v="32803"/>
    <n v="580"/>
    <x v="0"/>
    <x v="4"/>
    <x v="0"/>
  </r>
  <r>
    <s v="LN-00445"/>
    <x v="2"/>
    <n v="42100"/>
    <n v="11.95"/>
    <n v="72.2"/>
    <x v="1"/>
    <x v="4"/>
    <n v="4"/>
    <n v="49297"/>
    <n v="626"/>
    <x v="1"/>
    <x v="2"/>
    <x v="0"/>
  </r>
  <r>
    <s v="LN-00446"/>
    <x v="5"/>
    <n v="14100"/>
    <n v="11.21"/>
    <n v="36.4"/>
    <x v="0"/>
    <x v="1"/>
    <n v="31"/>
    <n v="49527"/>
    <n v="543"/>
    <x v="0"/>
    <x v="3"/>
    <x v="0"/>
  </r>
  <r>
    <s v="LN-00447"/>
    <x v="5"/>
    <n v="17600"/>
    <n v="10.76"/>
    <n v="60.1"/>
    <x v="0"/>
    <x v="4"/>
    <n v="1"/>
    <n v="55596"/>
    <n v="705"/>
    <x v="2"/>
    <x v="4"/>
    <x v="1"/>
  </r>
  <r>
    <s v="LN-00448"/>
    <x v="7"/>
    <n v="29700"/>
    <n v="8.4499999999999993"/>
    <n v="39.799999999999997"/>
    <x v="0"/>
    <x v="1"/>
    <n v="11"/>
    <n v="51445"/>
    <n v="815"/>
    <x v="3"/>
    <x v="3"/>
    <x v="0"/>
  </r>
  <r>
    <s v="LN-00449"/>
    <x v="7"/>
    <n v="9900"/>
    <n v="6.84"/>
    <n v="37.9"/>
    <x v="0"/>
    <x v="1"/>
    <n v="11"/>
    <n v="51445"/>
    <n v="815"/>
    <x v="3"/>
    <x v="3"/>
    <x v="0"/>
  </r>
  <r>
    <s v="LN-00450"/>
    <x v="1"/>
    <n v="46800"/>
    <n v="10.46"/>
    <n v="43.4"/>
    <x v="0"/>
    <x v="1"/>
    <n v="5"/>
    <n v="112919"/>
    <n v="716"/>
    <x v="2"/>
    <x v="1"/>
    <x v="0"/>
  </r>
  <r>
    <s v="LN-00451"/>
    <x v="6"/>
    <n v="31600"/>
    <n v="11.64"/>
    <n v="50.1"/>
    <x v="0"/>
    <x v="1"/>
    <n v="5"/>
    <n v="112919"/>
    <n v="716"/>
    <x v="2"/>
    <x v="0"/>
    <x v="0"/>
  </r>
  <r>
    <s v="LN-00452"/>
    <x v="2"/>
    <n v="3700"/>
    <n v="15.07"/>
    <n v="55.4"/>
    <x v="0"/>
    <x v="3"/>
    <n v="15"/>
    <n v="38602"/>
    <n v="585"/>
    <x v="0"/>
    <x v="0"/>
    <x v="0"/>
  </r>
  <r>
    <s v="LN-00453"/>
    <x v="5"/>
    <n v="33800"/>
    <n v="12.73"/>
    <n v="80.2"/>
    <x v="1"/>
    <x v="3"/>
    <n v="15"/>
    <n v="38602"/>
    <n v="585"/>
    <x v="0"/>
    <x v="6"/>
    <x v="0"/>
  </r>
  <r>
    <s v="LN-00454"/>
    <x v="7"/>
    <n v="42800"/>
    <n v="9.3699999999999992"/>
    <n v="105.8"/>
    <x v="0"/>
    <x v="1"/>
    <n v="4"/>
    <n v="48244"/>
    <n v="725"/>
    <x v="2"/>
    <x v="6"/>
    <x v="0"/>
  </r>
  <r>
    <s v="LN-00455"/>
    <x v="7"/>
    <n v="46600"/>
    <n v="11.4"/>
    <n v="38"/>
    <x v="0"/>
    <x v="4"/>
    <n v="2"/>
    <n v="42389"/>
    <n v="764"/>
    <x v="3"/>
    <x v="3"/>
    <x v="0"/>
  </r>
  <r>
    <s v="LN-00456"/>
    <x v="8"/>
    <n v="17800"/>
    <n v="11.5"/>
    <n v="42.5"/>
    <x v="0"/>
    <x v="1"/>
    <n v="14"/>
    <n v="81081"/>
    <n v="542"/>
    <x v="0"/>
    <x v="1"/>
    <x v="0"/>
  </r>
  <r>
    <s v="LN-00457"/>
    <x v="0"/>
    <n v="14100"/>
    <n v="7.99"/>
    <n v="45.4"/>
    <x v="1"/>
    <x v="0"/>
    <n v="6"/>
    <n v="46217"/>
    <n v="844"/>
    <x v="3"/>
    <x v="1"/>
    <x v="0"/>
  </r>
  <r>
    <s v="LN-00458"/>
    <x v="1"/>
    <n v="11000"/>
    <n v="13.82"/>
    <n v="56.6"/>
    <x v="1"/>
    <x v="1"/>
    <n v="1"/>
    <n v="35533"/>
    <n v="532"/>
    <x v="0"/>
    <x v="0"/>
    <x v="1"/>
  </r>
  <r>
    <s v="LN-00459"/>
    <x v="0"/>
    <n v="19000"/>
    <n v="8.2100000000000009"/>
    <n v="17.600000000000001"/>
    <x v="0"/>
    <x v="1"/>
    <n v="8"/>
    <n v="129845"/>
    <n v="709"/>
    <x v="2"/>
    <x v="5"/>
    <x v="0"/>
  </r>
  <r>
    <s v="LN-00460"/>
    <x v="4"/>
    <n v="9700"/>
    <n v="10.74"/>
    <n v="20.3"/>
    <x v="0"/>
    <x v="1"/>
    <n v="4"/>
    <n v="63025"/>
    <n v="840"/>
    <x v="3"/>
    <x v="7"/>
    <x v="0"/>
  </r>
  <r>
    <s v="LN-00461"/>
    <x v="5"/>
    <n v="38700"/>
    <n v="9.99"/>
    <n v="27.2"/>
    <x v="0"/>
    <x v="1"/>
    <n v="1"/>
    <n v="101087"/>
    <n v="751"/>
    <x v="3"/>
    <x v="7"/>
    <x v="1"/>
  </r>
  <r>
    <s v="LN-00462"/>
    <x v="4"/>
    <n v="38800"/>
    <n v="11.03"/>
    <n v="70.099999999999994"/>
    <x v="1"/>
    <x v="1"/>
    <n v="3"/>
    <n v="63988"/>
    <n v="554"/>
    <x v="0"/>
    <x v="2"/>
    <x v="0"/>
  </r>
  <r>
    <s v="LN-00463"/>
    <x v="3"/>
    <n v="6000"/>
    <n v="11.91"/>
    <n v="12.6"/>
    <x v="0"/>
    <x v="0"/>
    <n v="3"/>
    <n v="134797"/>
    <n v="560"/>
    <x v="0"/>
    <x v="5"/>
    <x v="0"/>
  </r>
  <r>
    <s v="LN-00464"/>
    <x v="3"/>
    <n v="13900"/>
    <n v="6.83"/>
    <n v="35.700000000000003"/>
    <x v="0"/>
    <x v="1"/>
    <n v="0"/>
    <n v="84953"/>
    <n v="850"/>
    <x v="3"/>
    <x v="3"/>
    <x v="1"/>
  </r>
  <r>
    <s v="LN-00465"/>
    <x v="9"/>
    <n v="9100"/>
    <n v="10.78"/>
    <n v="54.5"/>
    <x v="1"/>
    <x v="1"/>
    <n v="32"/>
    <n v="93595"/>
    <n v="593"/>
    <x v="0"/>
    <x v="0"/>
    <x v="0"/>
  </r>
  <r>
    <s v="LN-00466"/>
    <x v="5"/>
    <n v="31600"/>
    <n v="14.44"/>
    <n v="80.7"/>
    <x v="1"/>
    <x v="1"/>
    <n v="32"/>
    <n v="93595"/>
    <n v="593"/>
    <x v="0"/>
    <x v="6"/>
    <x v="0"/>
  </r>
  <r>
    <s v="LN-00467"/>
    <x v="7"/>
    <n v="8800"/>
    <n v="9.35"/>
    <n v="36.200000000000003"/>
    <x v="0"/>
    <x v="1"/>
    <n v="12"/>
    <n v="31657"/>
    <n v="792"/>
    <x v="3"/>
    <x v="3"/>
    <x v="0"/>
  </r>
  <r>
    <s v="LN-00468"/>
    <x v="1"/>
    <n v="45000"/>
    <n v="9.1999999999999993"/>
    <n v="72.5"/>
    <x v="0"/>
    <x v="0"/>
    <n v="0"/>
    <n v="95840"/>
    <n v="660"/>
    <x v="4"/>
    <x v="2"/>
    <x v="1"/>
  </r>
  <r>
    <s v="LN-00469"/>
    <x v="9"/>
    <n v="5800"/>
    <n v="12.35"/>
    <n v="57.8"/>
    <x v="1"/>
    <x v="4"/>
    <n v="6"/>
    <n v="54199"/>
    <n v="568"/>
    <x v="0"/>
    <x v="0"/>
    <x v="0"/>
  </r>
  <r>
    <s v="LN-00470"/>
    <x v="5"/>
    <n v="35100"/>
    <n v="14.46"/>
    <n v="63.5"/>
    <x v="0"/>
    <x v="1"/>
    <n v="9"/>
    <n v="66968"/>
    <n v="555"/>
    <x v="0"/>
    <x v="4"/>
    <x v="0"/>
  </r>
  <r>
    <s v="LN-00471"/>
    <x v="6"/>
    <n v="8300"/>
    <n v="10.6"/>
    <n v="40"/>
    <x v="1"/>
    <x v="2"/>
    <n v="2"/>
    <n v="55429"/>
    <n v="600"/>
    <x v="1"/>
    <x v="1"/>
    <x v="0"/>
  </r>
  <r>
    <s v="LN-00472"/>
    <x v="6"/>
    <n v="26300"/>
    <n v="11.46"/>
    <n v="75.599999999999994"/>
    <x v="0"/>
    <x v="2"/>
    <n v="25"/>
    <n v="28837"/>
    <n v="730"/>
    <x v="2"/>
    <x v="2"/>
    <x v="0"/>
  </r>
  <r>
    <s v="LN-00473"/>
    <x v="1"/>
    <n v="8500"/>
    <n v="12.71"/>
    <n v="47.5"/>
    <x v="0"/>
    <x v="2"/>
    <n v="25"/>
    <n v="28837"/>
    <n v="730"/>
    <x v="2"/>
    <x v="1"/>
    <x v="0"/>
  </r>
  <r>
    <s v="LN-00474"/>
    <x v="1"/>
    <n v="47700"/>
    <n v="10.97"/>
    <n v="122"/>
    <x v="0"/>
    <x v="3"/>
    <n v="8"/>
    <n v="67635"/>
    <n v="592"/>
    <x v="0"/>
    <x v="6"/>
    <x v="0"/>
  </r>
  <r>
    <s v="LN-00475"/>
    <x v="7"/>
    <n v="21100"/>
    <n v="11.78"/>
    <n v="17.5"/>
    <x v="0"/>
    <x v="3"/>
    <n v="2"/>
    <n v="50481"/>
    <n v="754"/>
    <x v="3"/>
    <x v="5"/>
    <x v="0"/>
  </r>
  <r>
    <s v="LN-00476"/>
    <x v="1"/>
    <n v="11900"/>
    <n v="7.52"/>
    <n v="17.600000000000001"/>
    <x v="0"/>
    <x v="0"/>
    <n v="31"/>
    <n v="131113"/>
    <n v="797"/>
    <x v="3"/>
    <x v="5"/>
    <x v="0"/>
  </r>
  <r>
    <s v="LN-00477"/>
    <x v="2"/>
    <n v="27200"/>
    <n v="10.43"/>
    <n v="48.4"/>
    <x v="0"/>
    <x v="0"/>
    <n v="14"/>
    <n v="60720"/>
    <n v="830"/>
    <x v="3"/>
    <x v="1"/>
    <x v="0"/>
  </r>
  <r>
    <s v="LN-00478"/>
    <x v="7"/>
    <n v="32700"/>
    <n v="13.44"/>
    <n v="24.4"/>
    <x v="0"/>
    <x v="1"/>
    <n v="30"/>
    <n v="111374"/>
    <n v="672"/>
    <x v="4"/>
    <x v="7"/>
    <x v="0"/>
  </r>
  <r>
    <s v="LN-00479"/>
    <x v="7"/>
    <n v="2000"/>
    <n v="13.08"/>
    <n v="15.9"/>
    <x v="0"/>
    <x v="3"/>
    <n v="32"/>
    <n v="30579"/>
    <n v="605"/>
    <x v="1"/>
    <x v="5"/>
    <x v="0"/>
  </r>
  <r>
    <s v="LN-00480"/>
    <x v="3"/>
    <n v="15700"/>
    <n v="11.39"/>
    <n v="26.8"/>
    <x v="0"/>
    <x v="3"/>
    <n v="32"/>
    <n v="30579"/>
    <n v="605"/>
    <x v="1"/>
    <x v="7"/>
    <x v="0"/>
  </r>
  <r>
    <s v="LN-00481"/>
    <x v="3"/>
    <n v="21100"/>
    <n v="10.14"/>
    <n v="29.5"/>
    <x v="0"/>
    <x v="1"/>
    <n v="14"/>
    <n v="42250"/>
    <n v="789"/>
    <x v="3"/>
    <x v="7"/>
    <x v="0"/>
  </r>
  <r>
    <s v="LN-00482"/>
    <x v="9"/>
    <n v="20300"/>
    <n v="8.6199999999999992"/>
    <n v="49.5"/>
    <x v="0"/>
    <x v="3"/>
    <n v="28"/>
    <n v="25418"/>
    <n v="780"/>
    <x v="3"/>
    <x v="1"/>
    <x v="0"/>
  </r>
  <r>
    <s v="LN-00483"/>
    <x v="7"/>
    <n v="12500"/>
    <n v="14.99"/>
    <n v="82"/>
    <x v="1"/>
    <x v="3"/>
    <n v="25"/>
    <n v="22335"/>
    <n v="571"/>
    <x v="0"/>
    <x v="6"/>
    <x v="0"/>
  </r>
  <r>
    <s v="LN-00484"/>
    <x v="5"/>
    <n v="20000"/>
    <n v="11.22"/>
    <n v="48.3"/>
    <x v="0"/>
    <x v="0"/>
    <n v="3"/>
    <n v="73306"/>
    <n v="721"/>
    <x v="2"/>
    <x v="1"/>
    <x v="0"/>
  </r>
  <r>
    <s v="LN-00485"/>
    <x v="7"/>
    <n v="3600"/>
    <n v="9.51"/>
    <n v="25.2"/>
    <x v="0"/>
    <x v="0"/>
    <n v="7"/>
    <n v="63778"/>
    <n v="766"/>
    <x v="3"/>
    <x v="7"/>
    <x v="0"/>
  </r>
  <r>
    <s v="LN-00486"/>
    <x v="9"/>
    <n v="20400"/>
    <n v="14.07"/>
    <n v="59"/>
    <x v="1"/>
    <x v="1"/>
    <n v="2"/>
    <n v="121047"/>
    <n v="604"/>
    <x v="1"/>
    <x v="0"/>
    <x v="0"/>
  </r>
  <r>
    <s v="LN-00487"/>
    <x v="3"/>
    <n v="32100"/>
    <n v="13.9"/>
    <n v="69.400000000000006"/>
    <x v="0"/>
    <x v="1"/>
    <n v="2"/>
    <n v="121047"/>
    <n v="604"/>
    <x v="1"/>
    <x v="4"/>
    <x v="0"/>
  </r>
  <r>
    <s v="LN-00488"/>
    <x v="6"/>
    <n v="14900"/>
    <n v="14.61"/>
    <n v="48.8"/>
    <x v="1"/>
    <x v="1"/>
    <n v="25"/>
    <n v="53099"/>
    <n v="591"/>
    <x v="0"/>
    <x v="1"/>
    <x v="0"/>
  </r>
  <r>
    <s v="LN-00489"/>
    <x v="8"/>
    <n v="14800"/>
    <n v="6.52"/>
    <n v="37.6"/>
    <x v="1"/>
    <x v="1"/>
    <n v="1"/>
    <n v="108932"/>
    <n v="846"/>
    <x v="3"/>
    <x v="3"/>
    <x v="1"/>
  </r>
  <r>
    <s v="LN-00490"/>
    <x v="1"/>
    <n v="17800"/>
    <n v="11.9"/>
    <n v="90.2"/>
    <x v="1"/>
    <x v="1"/>
    <n v="27"/>
    <n v="41068"/>
    <n v="554"/>
    <x v="0"/>
    <x v="6"/>
    <x v="0"/>
  </r>
  <r>
    <s v="LN-00491"/>
    <x v="1"/>
    <n v="36300"/>
    <n v="12.58"/>
    <n v="72.099999999999994"/>
    <x v="1"/>
    <x v="1"/>
    <n v="6"/>
    <n v="92612"/>
    <n v="593"/>
    <x v="0"/>
    <x v="2"/>
    <x v="0"/>
  </r>
  <r>
    <s v="LN-00492"/>
    <x v="9"/>
    <n v="13100"/>
    <n v="13.53"/>
    <n v="57.8"/>
    <x v="1"/>
    <x v="3"/>
    <n v="8"/>
    <n v="46630"/>
    <n v="657"/>
    <x v="4"/>
    <x v="0"/>
    <x v="0"/>
  </r>
  <r>
    <s v="LN-00493"/>
    <x v="5"/>
    <n v="6600"/>
    <n v="10.01"/>
    <n v="49.3"/>
    <x v="0"/>
    <x v="3"/>
    <n v="4"/>
    <n v="29481"/>
    <n v="787"/>
    <x v="3"/>
    <x v="1"/>
    <x v="0"/>
  </r>
  <r>
    <s v="LN-00494"/>
    <x v="3"/>
    <n v="36100"/>
    <n v="12.48"/>
    <n v="85.5"/>
    <x v="0"/>
    <x v="1"/>
    <n v="22"/>
    <n v="80421"/>
    <n v="688"/>
    <x v="4"/>
    <x v="6"/>
    <x v="0"/>
  </r>
  <r>
    <s v="LN-00495"/>
    <x v="0"/>
    <n v="7400"/>
    <n v="14.9"/>
    <n v="56.2"/>
    <x v="1"/>
    <x v="0"/>
    <n v="12"/>
    <n v="61167"/>
    <n v="594"/>
    <x v="0"/>
    <x v="0"/>
    <x v="0"/>
  </r>
  <r>
    <s v="LN-00496"/>
    <x v="5"/>
    <n v="18900"/>
    <n v="10.69"/>
    <n v="30.2"/>
    <x v="0"/>
    <x v="0"/>
    <n v="27"/>
    <n v="94280"/>
    <n v="686"/>
    <x v="4"/>
    <x v="3"/>
    <x v="0"/>
  </r>
  <r>
    <s v="LN-00497"/>
    <x v="7"/>
    <n v="28400"/>
    <n v="11.24"/>
    <n v="31.9"/>
    <x v="0"/>
    <x v="0"/>
    <n v="27"/>
    <n v="94280"/>
    <n v="686"/>
    <x v="4"/>
    <x v="3"/>
    <x v="0"/>
  </r>
  <r>
    <s v="LN-00498"/>
    <x v="2"/>
    <n v="35300"/>
    <n v="13.15"/>
    <n v="62.3"/>
    <x v="0"/>
    <x v="1"/>
    <n v="2"/>
    <n v="88461"/>
    <n v="622"/>
    <x v="1"/>
    <x v="4"/>
    <x v="0"/>
  </r>
  <r>
    <s v="LN-00499"/>
    <x v="0"/>
    <n v="46200"/>
    <n v="11.87"/>
    <n v="155.30000000000001"/>
    <x v="0"/>
    <x v="1"/>
    <n v="3"/>
    <n v="45971"/>
    <n v="761"/>
    <x v="3"/>
    <x v="6"/>
    <x v="0"/>
  </r>
  <r>
    <s v="LN-00500"/>
    <x v="5"/>
    <n v="28500"/>
    <n v="9.76"/>
    <n v="53.9"/>
    <x v="1"/>
    <x v="1"/>
    <n v="3"/>
    <n v="90638"/>
    <n v="687"/>
    <x v="4"/>
    <x v="0"/>
    <x v="0"/>
  </r>
  <r>
    <s v="LN-00501"/>
    <x v="5"/>
    <n v="2300"/>
    <n v="11.06"/>
    <n v="31.5"/>
    <x v="0"/>
    <x v="3"/>
    <n v="12"/>
    <n v="16498"/>
    <n v="648"/>
    <x v="1"/>
    <x v="3"/>
    <x v="0"/>
  </r>
  <r>
    <s v="LN-00502"/>
    <x v="8"/>
    <n v="8800"/>
    <n v="6.29"/>
    <n v="18.100000000000001"/>
    <x v="0"/>
    <x v="0"/>
    <n v="6"/>
    <n v="110166"/>
    <n v="846"/>
    <x v="3"/>
    <x v="5"/>
    <x v="0"/>
  </r>
  <r>
    <s v="LN-00503"/>
    <x v="2"/>
    <n v="16400"/>
    <n v="9.51"/>
    <n v="18.399999999999999"/>
    <x v="0"/>
    <x v="0"/>
    <n v="6"/>
    <n v="110166"/>
    <n v="846"/>
    <x v="3"/>
    <x v="5"/>
    <x v="0"/>
  </r>
  <r>
    <s v="LN-00504"/>
    <x v="8"/>
    <n v="6800"/>
    <n v="10.29"/>
    <n v="24.5"/>
    <x v="0"/>
    <x v="4"/>
    <n v="24"/>
    <n v="28964"/>
    <n v="586"/>
    <x v="0"/>
    <x v="7"/>
    <x v="0"/>
  </r>
  <r>
    <s v="LN-00505"/>
    <x v="9"/>
    <n v="36000"/>
    <n v="14.34"/>
    <n v="56.2"/>
    <x v="0"/>
    <x v="1"/>
    <n v="2"/>
    <n v="94611"/>
    <n v="619"/>
    <x v="1"/>
    <x v="0"/>
    <x v="0"/>
  </r>
  <r>
    <s v="LN-00506"/>
    <x v="5"/>
    <n v="21200"/>
    <n v="10.78"/>
    <n v="67.400000000000006"/>
    <x v="0"/>
    <x v="1"/>
    <n v="2"/>
    <n v="94611"/>
    <n v="619"/>
    <x v="1"/>
    <x v="4"/>
    <x v="0"/>
  </r>
  <r>
    <s v="LN-00507"/>
    <x v="0"/>
    <n v="33300"/>
    <n v="10.34"/>
    <n v="45.4"/>
    <x v="1"/>
    <x v="0"/>
    <n v="35"/>
    <n v="71897"/>
    <n v="828"/>
    <x v="3"/>
    <x v="1"/>
    <x v="0"/>
  </r>
  <r>
    <s v="LN-00508"/>
    <x v="7"/>
    <n v="5100"/>
    <n v="9.5500000000000007"/>
    <n v="19.5"/>
    <x v="1"/>
    <x v="0"/>
    <n v="8"/>
    <n v="50767"/>
    <n v="808"/>
    <x v="3"/>
    <x v="5"/>
    <x v="0"/>
  </r>
  <r>
    <s v="LN-00509"/>
    <x v="6"/>
    <n v="17400"/>
    <n v="6.77"/>
    <n v="62.8"/>
    <x v="0"/>
    <x v="1"/>
    <n v="16"/>
    <n v="73304"/>
    <n v="850"/>
    <x v="3"/>
    <x v="4"/>
    <x v="0"/>
  </r>
  <r>
    <s v="LN-00510"/>
    <x v="9"/>
    <n v="10800"/>
    <n v="6.06"/>
    <n v="49"/>
    <x v="1"/>
    <x v="1"/>
    <n v="2"/>
    <n v="30860"/>
    <n v="850"/>
    <x v="3"/>
    <x v="1"/>
    <x v="0"/>
  </r>
  <r>
    <s v="LN-00511"/>
    <x v="8"/>
    <n v="34800"/>
    <n v="8.33"/>
    <n v="72.400000000000006"/>
    <x v="0"/>
    <x v="1"/>
    <n v="2"/>
    <n v="30860"/>
    <n v="850"/>
    <x v="3"/>
    <x v="2"/>
    <x v="0"/>
  </r>
  <r>
    <s v="LN-00512"/>
    <x v="6"/>
    <n v="30100"/>
    <n v="9.49"/>
    <n v="61.9"/>
    <x v="1"/>
    <x v="0"/>
    <n v="17"/>
    <n v="47833"/>
    <n v="661"/>
    <x v="4"/>
    <x v="4"/>
    <x v="0"/>
  </r>
  <r>
    <s v="LN-00513"/>
    <x v="8"/>
    <n v="8700"/>
    <n v="8.9600000000000009"/>
    <n v="13.4"/>
    <x v="0"/>
    <x v="1"/>
    <n v="20"/>
    <n v="71658"/>
    <n v="686"/>
    <x v="4"/>
    <x v="5"/>
    <x v="0"/>
  </r>
  <r>
    <s v="LN-00514"/>
    <x v="5"/>
    <n v="7500"/>
    <n v="8.4600000000000009"/>
    <n v="21.5"/>
    <x v="0"/>
    <x v="3"/>
    <n v="13"/>
    <n v="29725"/>
    <n v="847"/>
    <x v="3"/>
    <x v="7"/>
    <x v="0"/>
  </r>
  <r>
    <s v="LN-00515"/>
    <x v="4"/>
    <n v="47100"/>
    <n v="14.85"/>
    <n v="64.8"/>
    <x v="1"/>
    <x v="0"/>
    <n v="9"/>
    <n v="91943"/>
    <n v="576"/>
    <x v="0"/>
    <x v="4"/>
    <x v="0"/>
  </r>
  <r>
    <s v="LN-00516"/>
    <x v="9"/>
    <n v="14000"/>
    <n v="10.029999999999999"/>
    <n v="86"/>
    <x v="0"/>
    <x v="1"/>
    <n v="2"/>
    <n v="24879"/>
    <n v="641"/>
    <x v="1"/>
    <x v="6"/>
    <x v="0"/>
  </r>
  <r>
    <s v="LN-00517"/>
    <x v="6"/>
    <n v="11300"/>
    <n v="13.99"/>
    <n v="52.8"/>
    <x v="1"/>
    <x v="1"/>
    <n v="2"/>
    <n v="24879"/>
    <n v="641"/>
    <x v="1"/>
    <x v="0"/>
    <x v="0"/>
  </r>
  <r>
    <s v="LN-00518"/>
    <x v="6"/>
    <n v="11800"/>
    <n v="7.19"/>
    <n v="55.7"/>
    <x v="0"/>
    <x v="1"/>
    <n v="0"/>
    <n v="40976"/>
    <n v="846"/>
    <x v="3"/>
    <x v="0"/>
    <x v="1"/>
  </r>
  <r>
    <s v="LN-00519"/>
    <x v="6"/>
    <n v="25400"/>
    <n v="12.56"/>
    <n v="32.4"/>
    <x v="0"/>
    <x v="1"/>
    <n v="19"/>
    <n v="122115"/>
    <n v="704"/>
    <x v="2"/>
    <x v="3"/>
    <x v="0"/>
  </r>
  <r>
    <s v="LN-00520"/>
    <x v="0"/>
    <n v="42600"/>
    <n v="10.14"/>
    <n v="37.6"/>
    <x v="0"/>
    <x v="1"/>
    <n v="19"/>
    <n v="122115"/>
    <n v="704"/>
    <x v="2"/>
    <x v="3"/>
    <x v="0"/>
  </r>
  <r>
    <s v="LN-00521"/>
    <x v="9"/>
    <n v="4400"/>
    <n v="11.42"/>
    <n v="47.1"/>
    <x v="0"/>
    <x v="1"/>
    <n v="34"/>
    <n v="30139"/>
    <n v="725"/>
    <x v="2"/>
    <x v="1"/>
    <x v="0"/>
  </r>
  <r>
    <s v="LN-00522"/>
    <x v="6"/>
    <n v="12600"/>
    <n v="8.26"/>
    <n v="77.8"/>
    <x v="0"/>
    <x v="4"/>
    <n v="9"/>
    <n v="24786"/>
    <n v="809"/>
    <x v="3"/>
    <x v="2"/>
    <x v="0"/>
  </r>
  <r>
    <s v="LN-00523"/>
    <x v="6"/>
    <n v="46300"/>
    <n v="8.98"/>
    <n v="23.8"/>
    <x v="0"/>
    <x v="1"/>
    <n v="13"/>
    <n v="118803"/>
    <n v="721"/>
    <x v="2"/>
    <x v="7"/>
    <x v="0"/>
  </r>
  <r>
    <s v="LN-00524"/>
    <x v="0"/>
    <n v="8700"/>
    <n v="10.5"/>
    <n v="48.4"/>
    <x v="1"/>
    <x v="2"/>
    <n v="10"/>
    <n v="38377"/>
    <n v="617"/>
    <x v="1"/>
    <x v="1"/>
    <x v="0"/>
  </r>
  <r>
    <s v="LN-00525"/>
    <x v="8"/>
    <n v="39200"/>
    <n v="15.28"/>
    <n v="124.5"/>
    <x v="0"/>
    <x v="1"/>
    <n v="16"/>
    <n v="59143"/>
    <n v="564"/>
    <x v="0"/>
    <x v="6"/>
    <x v="0"/>
  </r>
  <r>
    <s v="LN-00526"/>
    <x v="8"/>
    <n v="26200"/>
    <n v="7.23"/>
    <n v="59"/>
    <x v="1"/>
    <x v="0"/>
    <n v="2"/>
    <n v="25921"/>
    <n v="842"/>
    <x v="3"/>
    <x v="0"/>
    <x v="0"/>
  </r>
  <r>
    <s v="LN-00527"/>
    <x v="6"/>
    <n v="14900"/>
    <n v="10.77"/>
    <n v="32.4"/>
    <x v="0"/>
    <x v="3"/>
    <n v="20"/>
    <n v="30540"/>
    <n v="711"/>
    <x v="2"/>
    <x v="3"/>
    <x v="0"/>
  </r>
  <r>
    <s v="LN-00528"/>
    <x v="3"/>
    <n v="8800"/>
    <n v="10.51"/>
    <n v="34.4"/>
    <x v="0"/>
    <x v="3"/>
    <n v="4"/>
    <n v="43086"/>
    <n v="714"/>
    <x v="2"/>
    <x v="3"/>
    <x v="0"/>
  </r>
  <r>
    <s v="LN-00529"/>
    <x v="8"/>
    <n v="44900"/>
    <n v="6.22"/>
    <n v="49.4"/>
    <x v="0"/>
    <x v="1"/>
    <n v="19"/>
    <n v="63937"/>
    <n v="850"/>
    <x v="3"/>
    <x v="1"/>
    <x v="0"/>
  </r>
  <r>
    <s v="LN-00530"/>
    <x v="4"/>
    <n v="12800"/>
    <n v="13.03"/>
    <n v="50.5"/>
    <x v="1"/>
    <x v="0"/>
    <n v="1"/>
    <n v="44456"/>
    <n v="568"/>
    <x v="0"/>
    <x v="0"/>
    <x v="1"/>
  </r>
  <r>
    <s v="LN-00531"/>
    <x v="8"/>
    <n v="47300"/>
    <n v="12.12"/>
    <n v="90.1"/>
    <x v="1"/>
    <x v="1"/>
    <n v="17"/>
    <n v="57745"/>
    <n v="663"/>
    <x v="4"/>
    <x v="6"/>
    <x v="0"/>
  </r>
  <r>
    <s v="LN-00532"/>
    <x v="2"/>
    <n v="30800"/>
    <n v="10.36"/>
    <n v="45.1"/>
    <x v="0"/>
    <x v="2"/>
    <n v="4"/>
    <n v="78216"/>
    <n v="683"/>
    <x v="4"/>
    <x v="1"/>
    <x v="0"/>
  </r>
  <r>
    <s v="LN-00533"/>
    <x v="8"/>
    <n v="16700"/>
    <n v="9.33"/>
    <n v="32"/>
    <x v="0"/>
    <x v="2"/>
    <n v="2"/>
    <n v="92057"/>
    <n v="850"/>
    <x v="3"/>
    <x v="3"/>
    <x v="0"/>
  </r>
  <r>
    <s v="LN-00534"/>
    <x v="1"/>
    <n v="38700"/>
    <n v="10.47"/>
    <n v="57.4"/>
    <x v="0"/>
    <x v="2"/>
    <n v="2"/>
    <n v="92057"/>
    <n v="850"/>
    <x v="3"/>
    <x v="0"/>
    <x v="0"/>
  </r>
  <r>
    <s v="LN-00535"/>
    <x v="1"/>
    <n v="33700"/>
    <n v="9.89"/>
    <n v="15.6"/>
    <x v="0"/>
    <x v="0"/>
    <n v="22"/>
    <n v="137631"/>
    <n v="797"/>
    <x v="3"/>
    <x v="5"/>
    <x v="0"/>
  </r>
  <r>
    <s v="LN-00536"/>
    <x v="9"/>
    <n v="7000"/>
    <n v="12.74"/>
    <n v="10.5"/>
    <x v="0"/>
    <x v="0"/>
    <n v="12"/>
    <n v="53326"/>
    <n v="714"/>
    <x v="2"/>
    <x v="5"/>
    <x v="0"/>
  </r>
  <r>
    <s v="LN-00537"/>
    <x v="1"/>
    <n v="23500"/>
    <n v="10.74"/>
    <n v="49.1"/>
    <x v="0"/>
    <x v="0"/>
    <n v="16"/>
    <n v="53487"/>
    <n v="670"/>
    <x v="4"/>
    <x v="1"/>
    <x v="0"/>
  </r>
  <r>
    <s v="LN-00538"/>
    <x v="0"/>
    <n v="30100"/>
    <n v="9.07"/>
    <n v="42.4"/>
    <x v="0"/>
    <x v="2"/>
    <n v="12"/>
    <n v="45566"/>
    <n v="658"/>
    <x v="4"/>
    <x v="1"/>
    <x v="0"/>
  </r>
  <r>
    <s v="LN-00539"/>
    <x v="3"/>
    <n v="40200"/>
    <n v="10.18"/>
    <n v="52.7"/>
    <x v="0"/>
    <x v="1"/>
    <n v="4"/>
    <n v="79148"/>
    <n v="791"/>
    <x v="3"/>
    <x v="0"/>
    <x v="0"/>
  </r>
  <r>
    <s v="LN-00540"/>
    <x v="4"/>
    <n v="26900"/>
    <n v="11.75"/>
    <n v="45.4"/>
    <x v="0"/>
    <x v="1"/>
    <n v="7"/>
    <n v="43591"/>
    <n v="590"/>
    <x v="0"/>
    <x v="1"/>
    <x v="0"/>
  </r>
  <r>
    <s v="LN-00541"/>
    <x v="7"/>
    <n v="19600"/>
    <n v="11.67"/>
    <n v="59.4"/>
    <x v="1"/>
    <x v="3"/>
    <n v="1"/>
    <n v="45042"/>
    <n v="740"/>
    <x v="2"/>
    <x v="0"/>
    <x v="1"/>
  </r>
  <r>
    <s v="LN-00542"/>
    <x v="5"/>
    <n v="12600"/>
    <n v="9.85"/>
    <n v="28.5"/>
    <x v="0"/>
    <x v="3"/>
    <n v="1"/>
    <n v="45042"/>
    <n v="740"/>
    <x v="2"/>
    <x v="7"/>
    <x v="1"/>
  </r>
  <r>
    <s v="LN-00543"/>
    <x v="1"/>
    <n v="32100"/>
    <n v="13.94"/>
    <n v="61.3"/>
    <x v="0"/>
    <x v="2"/>
    <n v="16"/>
    <n v="49969"/>
    <n v="615"/>
    <x v="1"/>
    <x v="4"/>
    <x v="0"/>
  </r>
  <r>
    <s v="LN-00544"/>
    <x v="9"/>
    <n v="26800"/>
    <n v="13.19"/>
    <n v="56.8"/>
    <x v="0"/>
    <x v="2"/>
    <n v="5"/>
    <n v="87044"/>
    <n v="685"/>
    <x v="4"/>
    <x v="0"/>
    <x v="0"/>
  </r>
  <r>
    <s v="LN-00545"/>
    <x v="4"/>
    <n v="13000"/>
    <n v="7.77"/>
    <n v="32.9"/>
    <x v="0"/>
    <x v="1"/>
    <n v="12"/>
    <n v="35993"/>
    <n v="823"/>
    <x v="3"/>
    <x v="3"/>
    <x v="0"/>
  </r>
  <r>
    <s v="LN-00546"/>
    <x v="3"/>
    <n v="12200"/>
    <n v="9.42"/>
    <n v="32"/>
    <x v="0"/>
    <x v="1"/>
    <n v="12"/>
    <n v="35993"/>
    <n v="823"/>
    <x v="3"/>
    <x v="3"/>
    <x v="0"/>
  </r>
  <r>
    <s v="LN-00547"/>
    <x v="3"/>
    <n v="6500"/>
    <n v="13.44"/>
    <n v="34.799999999999997"/>
    <x v="0"/>
    <x v="1"/>
    <n v="24"/>
    <n v="56685"/>
    <n v="647"/>
    <x v="1"/>
    <x v="3"/>
    <x v="0"/>
  </r>
  <r>
    <s v="LN-00548"/>
    <x v="6"/>
    <n v="19500"/>
    <n v="12.75"/>
    <n v="54.1"/>
    <x v="0"/>
    <x v="2"/>
    <n v="30"/>
    <n v="79231"/>
    <n v="625"/>
    <x v="1"/>
    <x v="0"/>
    <x v="0"/>
  </r>
  <r>
    <s v="LN-00549"/>
    <x v="9"/>
    <n v="43000"/>
    <n v="10.71"/>
    <n v="79.900000000000006"/>
    <x v="0"/>
    <x v="1"/>
    <n v="34"/>
    <n v="111175"/>
    <n v="850"/>
    <x v="3"/>
    <x v="2"/>
    <x v="0"/>
  </r>
  <r>
    <s v="LN-00550"/>
    <x v="3"/>
    <n v="11300"/>
    <n v="9.33"/>
    <n v="70.8"/>
    <x v="0"/>
    <x v="1"/>
    <n v="13"/>
    <n v="43371"/>
    <n v="801"/>
    <x v="3"/>
    <x v="2"/>
    <x v="0"/>
  </r>
  <r>
    <s v="LN-00551"/>
    <x v="7"/>
    <n v="5900"/>
    <n v="9.74"/>
    <n v="23.6"/>
    <x v="0"/>
    <x v="0"/>
    <n v="3"/>
    <n v="89186"/>
    <n v="834"/>
    <x v="3"/>
    <x v="7"/>
    <x v="0"/>
  </r>
  <r>
    <s v="LN-00552"/>
    <x v="2"/>
    <n v="24400"/>
    <n v="11.75"/>
    <n v="47"/>
    <x v="0"/>
    <x v="2"/>
    <n v="0"/>
    <n v="48279"/>
    <n v="626"/>
    <x v="1"/>
    <x v="1"/>
    <x v="1"/>
  </r>
  <r>
    <s v="LN-00553"/>
    <x v="3"/>
    <n v="6900"/>
    <n v="10.039999999999999"/>
    <n v="38"/>
    <x v="0"/>
    <x v="0"/>
    <n v="26"/>
    <n v="46609"/>
    <n v="691"/>
    <x v="4"/>
    <x v="3"/>
    <x v="0"/>
  </r>
  <r>
    <s v="LN-00554"/>
    <x v="1"/>
    <n v="14300"/>
    <n v="11.6"/>
    <n v="46.4"/>
    <x v="0"/>
    <x v="0"/>
    <n v="26"/>
    <n v="46609"/>
    <n v="691"/>
    <x v="4"/>
    <x v="1"/>
    <x v="0"/>
  </r>
  <r>
    <s v="LN-00555"/>
    <x v="6"/>
    <n v="44700"/>
    <n v="9.92"/>
    <n v="46.1"/>
    <x v="0"/>
    <x v="1"/>
    <n v="12"/>
    <n v="85972"/>
    <n v="681"/>
    <x v="4"/>
    <x v="1"/>
    <x v="0"/>
  </r>
  <r>
    <s v="LN-00556"/>
    <x v="4"/>
    <n v="4600"/>
    <n v="10.78"/>
    <n v="17.600000000000001"/>
    <x v="0"/>
    <x v="3"/>
    <n v="9"/>
    <n v="31235"/>
    <n v="682"/>
    <x v="4"/>
    <x v="5"/>
    <x v="0"/>
  </r>
  <r>
    <s v="LN-00557"/>
    <x v="4"/>
    <n v="6000"/>
    <n v="10.23"/>
    <n v="32.200000000000003"/>
    <x v="0"/>
    <x v="3"/>
    <n v="9"/>
    <n v="31235"/>
    <n v="682"/>
    <x v="4"/>
    <x v="3"/>
    <x v="0"/>
  </r>
  <r>
    <s v="LN-00558"/>
    <x v="7"/>
    <n v="20000"/>
    <n v="10.86"/>
    <n v="55.4"/>
    <x v="1"/>
    <x v="1"/>
    <n v="6"/>
    <n v="49965"/>
    <n v="612"/>
    <x v="1"/>
    <x v="0"/>
    <x v="0"/>
  </r>
  <r>
    <s v="LN-00559"/>
    <x v="6"/>
    <n v="33000"/>
    <n v="7.42"/>
    <n v="70.099999999999994"/>
    <x v="1"/>
    <x v="0"/>
    <n v="0"/>
    <n v="50855"/>
    <n v="850"/>
    <x v="3"/>
    <x v="2"/>
    <x v="1"/>
  </r>
  <r>
    <s v="LN-00560"/>
    <x v="0"/>
    <n v="4900"/>
    <n v="6.69"/>
    <n v="50"/>
    <x v="0"/>
    <x v="1"/>
    <n v="1"/>
    <n v="35453"/>
    <n v="836"/>
    <x v="3"/>
    <x v="0"/>
    <x v="1"/>
  </r>
  <r>
    <s v="LN-00561"/>
    <x v="8"/>
    <n v="15400"/>
    <n v="11.01"/>
    <n v="47"/>
    <x v="0"/>
    <x v="1"/>
    <n v="1"/>
    <n v="35453"/>
    <n v="836"/>
    <x v="3"/>
    <x v="1"/>
    <x v="1"/>
  </r>
  <r>
    <s v="LN-00562"/>
    <x v="2"/>
    <n v="5000"/>
    <n v="12.2"/>
    <n v="79.2"/>
    <x v="0"/>
    <x v="4"/>
    <n v="31"/>
    <n v="19232"/>
    <n v="609"/>
    <x v="1"/>
    <x v="2"/>
    <x v="0"/>
  </r>
  <r>
    <s v="LN-00563"/>
    <x v="1"/>
    <n v="6300"/>
    <n v="12.91"/>
    <n v="62"/>
    <x v="1"/>
    <x v="4"/>
    <n v="31"/>
    <n v="19232"/>
    <n v="609"/>
    <x v="1"/>
    <x v="4"/>
    <x v="0"/>
  </r>
  <r>
    <s v="LN-00564"/>
    <x v="6"/>
    <n v="47000"/>
    <n v="6.91"/>
    <n v="102.4"/>
    <x v="0"/>
    <x v="1"/>
    <n v="14"/>
    <n v="57097"/>
    <n v="794"/>
    <x v="3"/>
    <x v="6"/>
    <x v="0"/>
  </r>
  <r>
    <s v="LN-00565"/>
    <x v="1"/>
    <n v="6200"/>
    <n v="11.68"/>
    <n v="33.5"/>
    <x v="0"/>
    <x v="1"/>
    <n v="1"/>
    <n v="95335"/>
    <n v="744"/>
    <x v="2"/>
    <x v="3"/>
    <x v="1"/>
  </r>
  <r>
    <s v="LN-00566"/>
    <x v="8"/>
    <n v="39200"/>
    <n v="8.92"/>
    <n v="74"/>
    <x v="1"/>
    <x v="1"/>
    <n v="1"/>
    <n v="95335"/>
    <n v="744"/>
    <x v="2"/>
    <x v="2"/>
    <x v="1"/>
  </r>
  <r>
    <s v="LN-00567"/>
    <x v="9"/>
    <n v="5200"/>
    <n v="10.25"/>
    <n v="44.2"/>
    <x v="0"/>
    <x v="1"/>
    <n v="22"/>
    <n v="32414"/>
    <n v="811"/>
    <x v="3"/>
    <x v="1"/>
    <x v="0"/>
  </r>
  <r>
    <s v="LN-00568"/>
    <x v="7"/>
    <n v="22000"/>
    <n v="8.09"/>
    <n v="60.9"/>
    <x v="0"/>
    <x v="1"/>
    <n v="22"/>
    <n v="32414"/>
    <n v="811"/>
    <x v="3"/>
    <x v="4"/>
    <x v="0"/>
  </r>
  <r>
    <s v="LN-00569"/>
    <x v="2"/>
    <n v="13600"/>
    <n v="13.16"/>
    <n v="38.700000000000003"/>
    <x v="0"/>
    <x v="1"/>
    <n v="6"/>
    <n v="40896"/>
    <n v="619"/>
    <x v="1"/>
    <x v="3"/>
    <x v="0"/>
  </r>
  <r>
    <s v="LN-00570"/>
    <x v="1"/>
    <n v="6100"/>
    <n v="10.25"/>
    <n v="47.8"/>
    <x v="0"/>
    <x v="4"/>
    <n v="4"/>
    <n v="77862"/>
    <n v="829"/>
    <x v="3"/>
    <x v="1"/>
    <x v="0"/>
  </r>
  <r>
    <s v="LN-00571"/>
    <x v="5"/>
    <n v="7100"/>
    <n v="7.01"/>
    <n v="40"/>
    <x v="0"/>
    <x v="1"/>
    <n v="0"/>
    <n v="114645"/>
    <n v="845"/>
    <x v="3"/>
    <x v="1"/>
    <x v="1"/>
  </r>
  <r>
    <s v="LN-00572"/>
    <x v="1"/>
    <n v="10300"/>
    <n v="11.51"/>
    <n v="26.9"/>
    <x v="0"/>
    <x v="1"/>
    <n v="16"/>
    <n v="60743"/>
    <n v="715"/>
    <x v="2"/>
    <x v="7"/>
    <x v="0"/>
  </r>
  <r>
    <s v="LN-00573"/>
    <x v="0"/>
    <n v="2900"/>
    <n v="8.6300000000000008"/>
    <n v="34.799999999999997"/>
    <x v="0"/>
    <x v="0"/>
    <n v="2"/>
    <n v="62419"/>
    <n v="818"/>
    <x v="3"/>
    <x v="3"/>
    <x v="0"/>
  </r>
  <r>
    <s v="LN-00574"/>
    <x v="1"/>
    <n v="26400"/>
    <n v="8.7899999999999991"/>
    <n v="39.1"/>
    <x v="0"/>
    <x v="0"/>
    <n v="11"/>
    <n v="132671"/>
    <n v="805"/>
    <x v="3"/>
    <x v="3"/>
    <x v="0"/>
  </r>
  <r>
    <s v="LN-00575"/>
    <x v="3"/>
    <n v="7000"/>
    <n v="12.5"/>
    <n v="43"/>
    <x v="0"/>
    <x v="1"/>
    <n v="3"/>
    <n v="57979"/>
    <n v="609"/>
    <x v="1"/>
    <x v="1"/>
    <x v="0"/>
  </r>
  <r>
    <s v="LN-00576"/>
    <x v="6"/>
    <n v="3600"/>
    <n v="9.94"/>
    <n v="55.8"/>
    <x v="1"/>
    <x v="2"/>
    <n v="23"/>
    <n v="56121"/>
    <n v="776"/>
    <x v="3"/>
    <x v="0"/>
    <x v="0"/>
  </r>
  <r>
    <s v="LN-00577"/>
    <x v="9"/>
    <n v="21400"/>
    <n v="6.99"/>
    <n v="12.1"/>
    <x v="0"/>
    <x v="1"/>
    <n v="17"/>
    <n v="139061"/>
    <n v="811"/>
    <x v="3"/>
    <x v="5"/>
    <x v="0"/>
  </r>
  <r>
    <s v="LN-00578"/>
    <x v="9"/>
    <n v="2100"/>
    <n v="10.25"/>
    <n v="12.6"/>
    <x v="0"/>
    <x v="1"/>
    <n v="27"/>
    <n v="72657"/>
    <n v="736"/>
    <x v="2"/>
    <x v="5"/>
    <x v="0"/>
  </r>
  <r>
    <s v="LN-00579"/>
    <x v="6"/>
    <n v="8200"/>
    <n v="10.09"/>
    <n v="54.1"/>
    <x v="0"/>
    <x v="0"/>
    <n v="24"/>
    <n v="41354"/>
    <n v="637"/>
    <x v="1"/>
    <x v="0"/>
    <x v="0"/>
  </r>
  <r>
    <s v="LN-00580"/>
    <x v="6"/>
    <n v="27600"/>
    <n v="8.84"/>
    <n v="66.900000000000006"/>
    <x v="0"/>
    <x v="1"/>
    <n v="5"/>
    <n v="70671"/>
    <n v="848"/>
    <x v="3"/>
    <x v="4"/>
    <x v="0"/>
  </r>
  <r>
    <s v="LN-00581"/>
    <x v="6"/>
    <n v="2400"/>
    <n v="10.039999999999999"/>
    <n v="27.3"/>
    <x v="0"/>
    <x v="1"/>
    <n v="5"/>
    <n v="70671"/>
    <n v="848"/>
    <x v="3"/>
    <x v="7"/>
    <x v="0"/>
  </r>
  <r>
    <s v="LN-00582"/>
    <x v="4"/>
    <n v="37300"/>
    <n v="7.5"/>
    <n v="22.9"/>
    <x v="0"/>
    <x v="1"/>
    <n v="4"/>
    <n v="69356"/>
    <n v="827"/>
    <x v="3"/>
    <x v="7"/>
    <x v="0"/>
  </r>
  <r>
    <s v="LN-00583"/>
    <x v="4"/>
    <n v="39200"/>
    <n v="11.84"/>
    <n v="60.1"/>
    <x v="0"/>
    <x v="3"/>
    <n v="4"/>
    <n v="70439"/>
    <n v="635"/>
    <x v="1"/>
    <x v="4"/>
    <x v="0"/>
  </r>
  <r>
    <s v="LN-00584"/>
    <x v="7"/>
    <n v="8800"/>
    <n v="5.99"/>
    <n v="22.5"/>
    <x v="0"/>
    <x v="1"/>
    <n v="8"/>
    <n v="97590"/>
    <n v="850"/>
    <x v="3"/>
    <x v="7"/>
    <x v="0"/>
  </r>
  <r>
    <s v="LN-00585"/>
    <x v="1"/>
    <n v="48300"/>
    <n v="10.33"/>
    <n v="32.700000000000003"/>
    <x v="0"/>
    <x v="1"/>
    <n v="8"/>
    <n v="97590"/>
    <n v="850"/>
    <x v="3"/>
    <x v="3"/>
    <x v="0"/>
  </r>
  <r>
    <s v="LN-00586"/>
    <x v="4"/>
    <n v="20800"/>
    <n v="14.43"/>
    <n v="47.4"/>
    <x v="0"/>
    <x v="1"/>
    <n v="3"/>
    <n v="63092"/>
    <n v="618"/>
    <x v="1"/>
    <x v="1"/>
    <x v="0"/>
  </r>
  <r>
    <s v="LN-00587"/>
    <x v="4"/>
    <n v="7900"/>
    <n v="12.53"/>
    <n v="40.5"/>
    <x v="0"/>
    <x v="1"/>
    <n v="3"/>
    <n v="63092"/>
    <n v="618"/>
    <x v="1"/>
    <x v="1"/>
    <x v="0"/>
  </r>
  <r>
    <s v="LN-00588"/>
    <x v="0"/>
    <n v="27100"/>
    <n v="9.3699999999999992"/>
    <n v="23.2"/>
    <x v="0"/>
    <x v="1"/>
    <n v="29"/>
    <n v="85514"/>
    <n v="825"/>
    <x v="3"/>
    <x v="7"/>
    <x v="0"/>
  </r>
  <r>
    <s v="LN-00589"/>
    <x v="8"/>
    <n v="41600"/>
    <n v="6.52"/>
    <n v="72.7"/>
    <x v="1"/>
    <x v="1"/>
    <n v="11"/>
    <n v="126680"/>
    <n v="825"/>
    <x v="3"/>
    <x v="2"/>
    <x v="0"/>
  </r>
  <r>
    <s v="LN-00590"/>
    <x v="8"/>
    <n v="4800"/>
    <n v="9.7799999999999994"/>
    <n v="40"/>
    <x v="0"/>
    <x v="1"/>
    <n v="18"/>
    <n v="61327"/>
    <n v="849"/>
    <x v="3"/>
    <x v="1"/>
    <x v="0"/>
  </r>
  <r>
    <s v="LN-00591"/>
    <x v="3"/>
    <n v="13200"/>
    <n v="13.58"/>
    <n v="49.4"/>
    <x v="1"/>
    <x v="3"/>
    <n v="2"/>
    <n v="36533"/>
    <n v="561"/>
    <x v="0"/>
    <x v="1"/>
    <x v="0"/>
  </r>
  <r>
    <s v="LN-00592"/>
    <x v="4"/>
    <n v="10000"/>
    <n v="9.58"/>
    <n v="38.700000000000003"/>
    <x v="0"/>
    <x v="3"/>
    <n v="23"/>
    <n v="23062"/>
    <n v="752"/>
    <x v="3"/>
    <x v="3"/>
    <x v="0"/>
  </r>
  <r>
    <s v="LN-00593"/>
    <x v="1"/>
    <n v="17500"/>
    <n v="9.65"/>
    <n v="30.8"/>
    <x v="0"/>
    <x v="1"/>
    <n v="11"/>
    <n v="74731"/>
    <n v="663"/>
    <x v="4"/>
    <x v="3"/>
    <x v="0"/>
  </r>
  <r>
    <s v="LN-00594"/>
    <x v="3"/>
    <n v="26400"/>
    <n v="11.87"/>
    <n v="52.7"/>
    <x v="1"/>
    <x v="2"/>
    <n v="6"/>
    <n v="41704"/>
    <n v="543"/>
    <x v="0"/>
    <x v="0"/>
    <x v="0"/>
  </r>
  <r>
    <s v="LN-00595"/>
    <x v="4"/>
    <n v="34900"/>
    <n v="11.33"/>
    <n v="69.7"/>
    <x v="0"/>
    <x v="2"/>
    <n v="4"/>
    <n v="60337"/>
    <n v="661"/>
    <x v="4"/>
    <x v="4"/>
    <x v="0"/>
  </r>
  <r>
    <s v="LN-00596"/>
    <x v="8"/>
    <n v="22200"/>
    <n v="10.19"/>
    <n v="55"/>
    <x v="0"/>
    <x v="1"/>
    <n v="3"/>
    <n v="54617"/>
    <n v="773"/>
    <x v="3"/>
    <x v="0"/>
    <x v="0"/>
  </r>
  <r>
    <s v="LN-00597"/>
    <x v="9"/>
    <n v="29100"/>
    <n v="7.38"/>
    <n v="52.3"/>
    <x v="1"/>
    <x v="1"/>
    <n v="3"/>
    <n v="54617"/>
    <n v="773"/>
    <x v="3"/>
    <x v="0"/>
    <x v="0"/>
  </r>
  <r>
    <s v="LN-00598"/>
    <x v="2"/>
    <n v="4600"/>
    <n v="7.27"/>
    <n v="32.4"/>
    <x v="0"/>
    <x v="0"/>
    <n v="7"/>
    <n v="85000"/>
    <n v="845"/>
    <x v="3"/>
    <x v="3"/>
    <x v="0"/>
  </r>
  <r>
    <s v="LN-00599"/>
    <x v="4"/>
    <n v="7800"/>
    <n v="9.86"/>
    <n v="28.8"/>
    <x v="0"/>
    <x v="1"/>
    <n v="14"/>
    <n v="62749"/>
    <n v="811"/>
    <x v="3"/>
    <x v="7"/>
    <x v="0"/>
  </r>
  <r>
    <s v="LN-00600"/>
    <x v="5"/>
    <n v="26400"/>
    <n v="11.44"/>
    <n v="73.2"/>
    <x v="0"/>
    <x v="1"/>
    <n v="5"/>
    <n v="67070"/>
    <n v="604"/>
    <x v="1"/>
    <x v="2"/>
    <x v="0"/>
  </r>
  <r>
    <s v="LN-00601"/>
    <x v="9"/>
    <n v="7500"/>
    <n v="10.7"/>
    <n v="62.9"/>
    <x v="0"/>
    <x v="1"/>
    <n v="5"/>
    <n v="67070"/>
    <n v="604"/>
    <x v="1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3B920-0898-44C3-8BC5-A59F0F0AC48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 group">
  <location ref="B43:E46" firstHeaderRow="0" firstDataRow="1" firstDataCol="1"/>
  <pivotFields count="13"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loans" fld="0" subtotal="count" baseField="12" baseItem="0"/>
    <dataField name="Defaultes" fld="5" baseField="12" baseItem="0"/>
    <dataField name="Default rate" fld="5" subtotal="average" baseField="1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C243F-FCEF-4B0F-A721-6EBCE9BA761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an purpose">
  <location ref="B26:E37" firstHeaderRow="0" firstDataRow="1" firstDataCol="1"/>
  <pivotFields count="13">
    <pivotField dataField="1" showAll="0"/>
    <pivotField axis="axisRow" showAll="0">
      <items count="11">
        <item x="3"/>
        <item x="7"/>
        <item x="8"/>
        <item x="4"/>
        <item x="6"/>
        <item x="1"/>
        <item x="5"/>
        <item x="2"/>
        <item x="0"/>
        <item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loans" fld="0" subtotal="count" baseField="1" baseItem="0"/>
    <dataField name="Defaultes" fld="5" baseField="1" baseItem="0"/>
    <dataField name="Default rate" fld="5" subtotal="averag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32397-2849-42B4-919D-76109F44F55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mployment status">
  <location ref="B16:E22" firstHeaderRow="0" firstDataRow="1" firstDataCol="1"/>
  <pivotFields count="13">
    <pivotField dataField="1" showAll="0"/>
    <pivotField showAll="0"/>
    <pivotField showAll="0"/>
    <pivotField showAll="0"/>
    <pivotField showAll="0"/>
    <pivotField dataField="1"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loans " fld="0" subtotal="count" baseField="6" baseItem="0"/>
    <dataField name="Defaults" fld="5" baseField="6" baseItem="0"/>
    <dataField name="Default rate" fld="5" subtotal="average" baseField="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172DC-FB74-4A6F-9E44-9B244095ECA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redit score ">
  <location ref="B4:E10" firstHeaderRow="0" firstDataRow="1" firstDataCol="1"/>
  <pivotFields count="13"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loans" fld="0" subtotal="count" baseField="10" baseItem="0"/>
    <dataField name="Defaults " fld="5" baseField="10" baseItem="0"/>
    <dataField name="Default rate " fld="5" subtotal="average" baseField="1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E543A-4C2B-4D37-8EAA-F4126D679D2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faults">
  <location ref="B67:C70" firstHeaderRow="1" firstDataRow="1" firstDataCol="1"/>
  <pivotFields count="13"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of loan_amount" fld="2" subtotal="average" baseField="5" baseItem="0"/>
  </dataFields>
  <formats count="3">
    <format dxfId="4">
      <pivotArea collapsedLevelsAreSubtotals="1" fieldPosition="0">
        <references count="1">
          <reference field="5" count="1">
            <x v="0"/>
          </reference>
        </references>
      </pivotArea>
    </format>
    <format dxfId="3">
      <pivotArea collapsedLevelsAreSubtotals="1" fieldPosition="0">
        <references count="1">
          <reference field="5" count="1">
            <x v="1"/>
          </reference>
        </references>
      </pivotArea>
    </format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D4177-DF11-4E29-97B0-876FE85AADE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TI_bucket">
  <location ref="B53:E62" firstHeaderRow="0" firstDataRow="1" firstDataCol="1"/>
  <pivotFields count="13"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9">
        <item x="5"/>
        <item x="7"/>
        <item x="3"/>
        <item x="1"/>
        <item x="0"/>
        <item x="4"/>
        <item x="2"/>
        <item x="6"/>
        <item t="default"/>
      </items>
    </pivotField>
    <pivotField showAll="0"/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loans" fld="0" subtotal="count" baseField="11" baseItem="0"/>
    <dataField name="Defaultes" fld="5" baseField="11" baseItem="0"/>
    <dataField name="Default rate" fld="5" subtotal="average" baseField="1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089FE4-6346-4B7A-AD80-F211F437C21A}" name="Table1" displayName="Table1" ref="A1:M602" totalsRowShown="0">
  <autoFilter ref="A1:M602" xr:uid="{66089FE4-6346-4B7A-AD80-F211F437C21A}"/>
  <tableColumns count="13">
    <tableColumn id="1" xr3:uid="{B473FF55-027E-4CCB-9400-014760E13D84}" name="loan_id"/>
    <tableColumn id="2" xr3:uid="{4A2B72A3-334A-44F6-A8D9-AC888B2E1195}" name="loan_purpose"/>
    <tableColumn id="3" xr3:uid="{58C10E27-64B3-4F8E-A3B3-6520E8703120}" name="loan_amount"/>
    <tableColumn id="4" xr3:uid="{F04EE752-9038-4C99-B59C-64544D608B41}" name="interest_rate"/>
    <tableColumn id="5" xr3:uid="{3114FE84-EA1B-43B2-A122-C15AB926E9A0}" name="dti_ratio"/>
    <tableColumn id="6" xr3:uid="{BD8CCF55-4646-48BA-9F29-CFB23872AAC2}" name="defaulted"/>
    <tableColumn id="7" xr3:uid="{D13A0E1B-4D27-4364-903E-6CD0EEF62E9B}" name="employment_status"/>
    <tableColumn id="8" xr3:uid="{671AC1EE-C260-4396-A15F-4B4BF67FB211}" name="years_employed"/>
    <tableColumn id="9" xr3:uid="{532A4EAA-4D67-49F4-914B-7540D152CCA3}" name="annual_income"/>
    <tableColumn id="10" xr3:uid="{22B3D9DE-7882-44B5-A29D-41E3467BB16D}" name="credit_score"/>
    <tableColumn id="11" xr3:uid="{0611FAEC-7913-4ECB-A3A0-93F031121A55}" name="credit_score bucket">
      <calculatedColumnFormula array="1">_xlfn.IFS(J2&lt;600,"520-599",J2&lt;650,"600-649",J2&lt;700,"650-699",J2&lt;750,"700-749",TRUE,"750+")</calculatedColumnFormula>
    </tableColumn>
    <tableColumn id="12" xr3:uid="{41C3878F-15BA-407C-84D2-B6422582697A}" name="Dti_ratio2">
      <calculatedColumnFormula array="1">_xlfn.IFS(E2&lt;20,"1. Under 20",E2&lt;30,"2. 20-29",E2&lt;40,"3. 30-39",E2&lt;50,"4. 40-49",E2&lt;60,"5. 50-59",E2&lt;70,"6. 60-69",E2&lt;80,"7. 70-79",TRUE,"8. 80+")</calculatedColumnFormula>
    </tableColumn>
    <tableColumn id="13" xr3:uid="{08407FA5-47C1-4E30-9731-96068975947B}" name="tenure_group">
      <calculatedColumnFormula>IF(H2&lt;2,"Under 2 years","2+ years")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9D340E-B4B5-4F41-82F2-EE44BDA80D85}" name="Table2" displayName="Table2" ref="A7:B12" totalsRowShown="0" headerRowDxfId="0">
  <autoFilter ref="A7:B12" xr:uid="{FE9D340E-B4B5-4F41-82F2-EE44BDA80D85}"/>
  <tableColumns count="2">
    <tableColumn id="1" xr3:uid="{81E188DC-EEA4-41FD-BC03-5754CA7574C0}" name="Variable "/>
    <tableColumn id="2" xr3:uid="{BB90136E-DB55-4C26-9458-7933CDF8FF42}" name="Correlation with default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16D1F4-29E8-4C1C-BA92-A28A68AFE3A1}" name="Table4" displayName="Table4" ref="A1:B4" totalsRowShown="0">
  <autoFilter ref="A1:B4" xr:uid="{5416D1F4-29E8-4C1C-BA92-A28A68AFE3A1}"/>
  <tableColumns count="2">
    <tableColumn id="1" xr3:uid="{834B252D-3A06-4282-A532-E0CD5DFA9825}" name="Column1"/>
    <tableColumn id="2" xr3:uid="{EADD8F60-0DF1-4BC5-864E-10C4994CF266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EE84-2242-4544-A5FE-0B4AC2EF06BA}">
  <dimension ref="A1:M602"/>
  <sheetViews>
    <sheetView workbookViewId="0">
      <selection activeCell="F12" sqref="F12"/>
    </sheetView>
  </sheetViews>
  <sheetFormatPr defaultRowHeight="15" x14ac:dyDescent="0.25"/>
  <cols>
    <col min="1" max="1" width="9.7109375" bestFit="1" customWidth="1"/>
    <col min="2" max="2" width="18.42578125" bestFit="1" customWidth="1"/>
    <col min="3" max="4" width="14.85546875" bestFit="1" customWidth="1"/>
    <col min="5" max="5" width="10.7109375" bestFit="1" customWidth="1"/>
    <col min="6" max="6" width="12" bestFit="1" customWidth="1"/>
    <col min="7" max="7" width="21.42578125" bestFit="1" customWidth="1"/>
    <col min="8" max="8" width="18.140625" bestFit="1" customWidth="1"/>
    <col min="9" max="9" width="17" bestFit="1" customWidth="1"/>
    <col min="10" max="10" width="14.42578125" bestFit="1" customWidth="1"/>
    <col min="11" max="11" width="21.28515625" bestFit="1" customWidth="1"/>
    <col min="12" max="12" width="12" bestFit="1" customWidth="1"/>
    <col min="13" max="13" width="15.42578125" bestFit="1" customWidth="1"/>
  </cols>
  <sheetData>
    <row r="1" spans="1:13" x14ac:dyDescent="0.25">
      <c r="A1" t="s">
        <v>616</v>
      </c>
      <c r="B1" t="s">
        <v>617</v>
      </c>
      <c r="C1" t="s">
        <v>618</v>
      </c>
      <c r="D1" t="s">
        <v>619</v>
      </c>
      <c r="E1" t="s">
        <v>620</v>
      </c>
      <c r="F1" t="s">
        <v>621</v>
      </c>
      <c r="G1" t="s">
        <v>622</v>
      </c>
      <c r="H1" t="s">
        <v>623</v>
      </c>
      <c r="I1" t="s">
        <v>624</v>
      </c>
      <c r="J1" t="s">
        <v>625</v>
      </c>
      <c r="K1" t="s">
        <v>626</v>
      </c>
      <c r="L1" t="s">
        <v>631</v>
      </c>
      <c r="M1" t="s">
        <v>627</v>
      </c>
    </row>
    <row r="2" spans="1:13" x14ac:dyDescent="0.25">
      <c r="A2" t="s">
        <v>0</v>
      </c>
      <c r="B2" t="s">
        <v>1</v>
      </c>
      <c r="C2">
        <v>16100</v>
      </c>
      <c r="D2">
        <v>13.05</v>
      </c>
      <c r="E2">
        <v>55.5</v>
      </c>
      <c r="F2">
        <v>0</v>
      </c>
      <c r="G2" t="s">
        <v>2</v>
      </c>
      <c r="H2">
        <v>6</v>
      </c>
      <c r="I2">
        <v>31020</v>
      </c>
      <c r="J2">
        <v>596</v>
      </c>
      <c r="K2" t="str" cm="1">
        <f t="array" ref="K2">_xlfn.IFS(J2&lt;600,"520-599",J2&lt;650,"600-649",J2&lt;700,"650-699",J2&lt;750,"700-749",TRUE,"750+")</f>
        <v>520-599</v>
      </c>
      <c r="L2" t="str" cm="1">
        <f t="array" ref="L2">_xlfn.IFS(E2&lt;20,"1. Under 20",E2&lt;30,"2. 20-29",E2&lt;40,"3. 30-39",E2&lt;50,"4. 40-49",E2&lt;60,"5. 50-59",E2&lt;70,"6. 60-69",E2&lt;80,"7. 70-79",TRUE,"8. 80+")</f>
        <v>5. 50-59</v>
      </c>
      <c r="M2" t="str">
        <f>IF(H2&lt;2,"Under 2 years","2+ years")</f>
        <v>2+ years</v>
      </c>
    </row>
    <row r="3" spans="1:13" x14ac:dyDescent="0.25">
      <c r="A3" t="s">
        <v>3</v>
      </c>
      <c r="B3" t="s">
        <v>4</v>
      </c>
      <c r="C3">
        <v>5600</v>
      </c>
      <c r="D3">
        <v>14.21</v>
      </c>
      <c r="E3">
        <v>40.4</v>
      </c>
      <c r="F3">
        <v>1</v>
      </c>
      <c r="G3" t="s">
        <v>2</v>
      </c>
      <c r="H3">
        <v>6</v>
      </c>
      <c r="I3">
        <v>31020</v>
      </c>
      <c r="J3">
        <v>596</v>
      </c>
      <c r="K3" t="str" cm="1">
        <f t="array" ref="K3">_xlfn.IFS(J3&lt;600,"520-599",J3&lt;650,"600-649",J3&lt;700,"650-699",J3&lt;750,"700-749",TRUE,"750+")</f>
        <v>520-599</v>
      </c>
      <c r="L3" t="str" cm="1">
        <f t="array" ref="L3">_xlfn.IFS(E3&lt;20,"1. Under 20",E3&lt;30,"2. 20-29",E3&lt;40,"3. 30-39",E3&lt;50,"4. 40-49",E3&lt;60,"5. 50-59",E3&lt;70,"6. 60-69",E3&lt;80,"7. 70-79",TRUE,"8. 80+")</f>
        <v>4. 40-49</v>
      </c>
      <c r="M3" t="str">
        <f t="shared" ref="M3:M66" si="0">IF(H3&lt;2,"Under 2 years","2+ years")</f>
        <v>2+ years</v>
      </c>
    </row>
    <row r="4" spans="1:13" x14ac:dyDescent="0.25">
      <c r="A4" t="s">
        <v>5</v>
      </c>
      <c r="B4" t="s">
        <v>6</v>
      </c>
      <c r="C4">
        <v>44700</v>
      </c>
      <c r="D4">
        <v>12.37</v>
      </c>
      <c r="E4">
        <v>70.5</v>
      </c>
      <c r="F4">
        <v>0</v>
      </c>
      <c r="G4" t="s">
        <v>7</v>
      </c>
      <c r="H4">
        <v>4</v>
      </c>
      <c r="I4">
        <v>40188</v>
      </c>
      <c r="J4">
        <v>543</v>
      </c>
      <c r="K4" t="str" cm="1">
        <f t="array" ref="K4">_xlfn.IFS(J4&lt;600,"520-599",J4&lt;650,"600-649",J4&lt;700,"650-699",J4&lt;750,"700-749",TRUE,"750+")</f>
        <v>520-599</v>
      </c>
      <c r="L4" t="str" cm="1">
        <f t="array" ref="L4">_xlfn.IFS(E4&lt;20,"1. Under 20",E4&lt;30,"2. 20-29",E4&lt;40,"3. 30-39",E4&lt;50,"4. 40-49",E4&lt;60,"5. 50-59",E4&lt;70,"6. 60-69",E4&lt;80,"7. 70-79",TRUE,"8. 80+")</f>
        <v>7. 70-79</v>
      </c>
      <c r="M4" t="str">
        <f t="shared" si="0"/>
        <v>2+ years</v>
      </c>
    </row>
    <row r="5" spans="1:13" x14ac:dyDescent="0.25">
      <c r="A5" t="s">
        <v>8</v>
      </c>
      <c r="B5" t="s">
        <v>9</v>
      </c>
      <c r="C5">
        <v>9200</v>
      </c>
      <c r="D5">
        <v>11.18</v>
      </c>
      <c r="E5">
        <v>59.8</v>
      </c>
      <c r="F5">
        <v>1</v>
      </c>
      <c r="G5" t="s">
        <v>10</v>
      </c>
      <c r="H5">
        <v>22</v>
      </c>
      <c r="I5">
        <v>41014</v>
      </c>
      <c r="J5">
        <v>611</v>
      </c>
      <c r="K5" t="str" cm="1">
        <f t="array" ref="K5">_xlfn.IFS(J5&lt;600,"520-599",J5&lt;650,"600-649",J5&lt;700,"650-699",J5&lt;750,"700-749",TRUE,"750+")</f>
        <v>600-649</v>
      </c>
      <c r="L5" t="str" cm="1">
        <f t="array" ref="L5">_xlfn.IFS(E5&lt;20,"1. Under 20",E5&lt;30,"2. 20-29",E5&lt;40,"3. 30-39",E5&lt;50,"4. 40-49",E5&lt;60,"5. 50-59",E5&lt;70,"6. 60-69",E5&lt;80,"7. 70-79",TRUE,"8. 80+")</f>
        <v>5. 50-59</v>
      </c>
      <c r="M5" t="str">
        <f t="shared" si="0"/>
        <v>2+ years</v>
      </c>
    </row>
    <row r="6" spans="1:13" x14ac:dyDescent="0.25">
      <c r="A6" t="s">
        <v>11</v>
      </c>
      <c r="B6" t="s">
        <v>6</v>
      </c>
      <c r="C6">
        <v>11200</v>
      </c>
      <c r="D6">
        <v>9.66</v>
      </c>
      <c r="E6">
        <v>44.1</v>
      </c>
      <c r="F6">
        <v>0</v>
      </c>
      <c r="G6" t="s">
        <v>7</v>
      </c>
      <c r="H6">
        <v>19</v>
      </c>
      <c r="I6">
        <v>35036</v>
      </c>
      <c r="J6">
        <v>701</v>
      </c>
      <c r="K6" t="str" cm="1">
        <f t="array" ref="K6">_xlfn.IFS(J6&lt;600,"520-599",J6&lt;650,"600-649",J6&lt;700,"650-699",J6&lt;750,"700-749",TRUE,"750+")</f>
        <v>700-749</v>
      </c>
      <c r="L6" t="str" cm="1">
        <f t="array" ref="L6">_xlfn.IFS(E6&lt;20,"1. Under 20",E6&lt;30,"2. 20-29",E6&lt;40,"3. 30-39",E6&lt;50,"4. 40-49",E6&lt;60,"5. 50-59",E6&lt;70,"6. 60-69",E6&lt;80,"7. 70-79",TRUE,"8. 80+")</f>
        <v>4. 40-49</v>
      </c>
      <c r="M6" t="str">
        <f t="shared" si="0"/>
        <v>2+ years</v>
      </c>
    </row>
    <row r="7" spans="1:13" x14ac:dyDescent="0.25">
      <c r="A7" t="s">
        <v>12</v>
      </c>
      <c r="B7" t="s">
        <v>13</v>
      </c>
      <c r="C7">
        <v>28600</v>
      </c>
      <c r="D7">
        <v>13.07</v>
      </c>
      <c r="E7">
        <v>37.1</v>
      </c>
      <c r="F7">
        <v>0</v>
      </c>
      <c r="G7" t="s">
        <v>7</v>
      </c>
      <c r="H7">
        <v>18</v>
      </c>
      <c r="I7">
        <v>44528</v>
      </c>
      <c r="J7">
        <v>715</v>
      </c>
      <c r="K7" t="str" cm="1">
        <f t="array" ref="K7">_xlfn.IFS(J7&lt;600,"520-599",J7&lt;650,"600-649",J7&lt;700,"650-699",J7&lt;750,"700-749",TRUE,"750+")</f>
        <v>700-749</v>
      </c>
      <c r="L7" t="str" cm="1">
        <f t="array" ref="L7">_xlfn.IFS(E7&lt;20,"1. Under 20",E7&lt;30,"2. 20-29",E7&lt;40,"3. 30-39",E7&lt;50,"4. 40-49",E7&lt;60,"5. 50-59",E7&lt;70,"6. 60-69",E7&lt;80,"7. 70-79",TRUE,"8. 80+")</f>
        <v>3. 30-39</v>
      </c>
      <c r="M7" t="str">
        <f t="shared" si="0"/>
        <v>2+ years</v>
      </c>
    </row>
    <row r="8" spans="1:13" x14ac:dyDescent="0.25">
      <c r="A8" t="s">
        <v>14</v>
      </c>
      <c r="B8" t="s">
        <v>15</v>
      </c>
      <c r="C8">
        <v>39200</v>
      </c>
      <c r="D8">
        <v>10.23</v>
      </c>
      <c r="E8">
        <v>49.9</v>
      </c>
      <c r="F8">
        <v>0</v>
      </c>
      <c r="G8" t="s">
        <v>10</v>
      </c>
      <c r="H8">
        <v>8</v>
      </c>
      <c r="I8">
        <v>157047</v>
      </c>
      <c r="J8">
        <v>749</v>
      </c>
      <c r="K8" t="str" cm="1">
        <f t="array" ref="K8">_xlfn.IFS(J8&lt;600,"520-599",J8&lt;650,"600-649",J8&lt;700,"650-699",J8&lt;750,"700-749",TRUE,"750+")</f>
        <v>700-749</v>
      </c>
      <c r="L8" t="str" cm="1">
        <f t="array" ref="L8">_xlfn.IFS(E8&lt;20,"1. Under 20",E8&lt;30,"2. 20-29",E8&lt;40,"3. 30-39",E8&lt;50,"4. 40-49",E8&lt;60,"5. 50-59",E8&lt;70,"6. 60-69",E8&lt;80,"7. 70-79",TRUE,"8. 80+")</f>
        <v>4. 40-49</v>
      </c>
      <c r="M8" t="str">
        <f t="shared" si="0"/>
        <v>2+ years</v>
      </c>
    </row>
    <row r="9" spans="1:13" x14ac:dyDescent="0.25">
      <c r="A9" t="s">
        <v>16</v>
      </c>
      <c r="B9" t="s">
        <v>17</v>
      </c>
      <c r="C9">
        <v>36300</v>
      </c>
      <c r="D9">
        <v>14.26</v>
      </c>
      <c r="E9">
        <v>38.200000000000003</v>
      </c>
      <c r="F9">
        <v>1</v>
      </c>
      <c r="G9" t="s">
        <v>2</v>
      </c>
      <c r="H9">
        <v>5</v>
      </c>
      <c r="I9">
        <v>84210</v>
      </c>
      <c r="J9">
        <v>576</v>
      </c>
      <c r="K9" t="str" cm="1">
        <f t="array" ref="K9">_xlfn.IFS(J9&lt;600,"520-599",J9&lt;650,"600-649",J9&lt;700,"650-699",J9&lt;750,"700-749",TRUE,"750+")</f>
        <v>520-599</v>
      </c>
      <c r="L9" t="str" cm="1">
        <f t="array" ref="L9">_xlfn.IFS(E9&lt;20,"1. Under 20",E9&lt;30,"2. 20-29",E9&lt;40,"3. 30-39",E9&lt;50,"4. 40-49",E9&lt;60,"5. 50-59",E9&lt;70,"6. 60-69",E9&lt;80,"7. 70-79",TRUE,"8. 80+")</f>
        <v>3. 30-39</v>
      </c>
      <c r="M9" t="str">
        <f t="shared" si="0"/>
        <v>2+ years</v>
      </c>
    </row>
    <row r="10" spans="1:13" x14ac:dyDescent="0.25">
      <c r="A10" t="s">
        <v>18</v>
      </c>
      <c r="B10" t="s">
        <v>19</v>
      </c>
      <c r="C10">
        <v>39000</v>
      </c>
      <c r="D10">
        <v>13.73</v>
      </c>
      <c r="E10">
        <v>36.799999999999997</v>
      </c>
      <c r="F10">
        <v>0</v>
      </c>
      <c r="G10" t="s">
        <v>2</v>
      </c>
      <c r="H10">
        <v>5</v>
      </c>
      <c r="I10">
        <v>84210</v>
      </c>
      <c r="J10">
        <v>576</v>
      </c>
      <c r="K10" t="str" cm="1">
        <f t="array" ref="K10">_xlfn.IFS(J10&lt;600,"520-599",J10&lt;650,"600-649",J10&lt;700,"650-699",J10&lt;750,"700-749",TRUE,"750+")</f>
        <v>520-599</v>
      </c>
      <c r="L10" t="str" cm="1">
        <f t="array" ref="L10">_xlfn.IFS(E10&lt;20,"1. Under 20",E10&lt;30,"2. 20-29",E10&lt;40,"3. 30-39",E10&lt;50,"4. 40-49",E10&lt;60,"5. 50-59",E10&lt;70,"6. 60-69",E10&lt;80,"7. 70-79",TRUE,"8. 80+")</f>
        <v>3. 30-39</v>
      </c>
      <c r="M10" t="str">
        <f t="shared" si="0"/>
        <v>2+ years</v>
      </c>
    </row>
    <row r="11" spans="1:13" x14ac:dyDescent="0.25">
      <c r="A11" t="s">
        <v>20</v>
      </c>
      <c r="B11" t="s">
        <v>21</v>
      </c>
      <c r="C11">
        <v>28400</v>
      </c>
      <c r="D11">
        <v>11.88</v>
      </c>
      <c r="E11">
        <v>67.8</v>
      </c>
      <c r="F11">
        <v>1</v>
      </c>
      <c r="G11" t="s">
        <v>7</v>
      </c>
      <c r="H11">
        <v>14</v>
      </c>
      <c r="I11">
        <v>61289</v>
      </c>
      <c r="J11">
        <v>563</v>
      </c>
      <c r="K11" t="str" cm="1">
        <f t="array" ref="K11">_xlfn.IFS(J11&lt;600,"520-599",J11&lt;650,"600-649",J11&lt;700,"650-699",J11&lt;750,"700-749",TRUE,"750+")</f>
        <v>520-599</v>
      </c>
      <c r="L11" t="str" cm="1">
        <f t="array" ref="L11">_xlfn.IFS(E11&lt;20,"1. Under 20",E11&lt;30,"2. 20-29",E11&lt;40,"3. 30-39",E11&lt;50,"4. 40-49",E11&lt;60,"5. 50-59",E11&lt;70,"6. 60-69",E11&lt;80,"7. 70-79",TRUE,"8. 80+")</f>
        <v>6. 60-69</v>
      </c>
      <c r="M11" t="str">
        <f t="shared" si="0"/>
        <v>2+ years</v>
      </c>
    </row>
    <row r="12" spans="1:13" x14ac:dyDescent="0.25">
      <c r="A12" t="s">
        <v>22</v>
      </c>
      <c r="B12" t="s">
        <v>19</v>
      </c>
      <c r="C12">
        <v>13300</v>
      </c>
      <c r="D12">
        <v>10.91</v>
      </c>
      <c r="E12">
        <v>18.600000000000001</v>
      </c>
      <c r="F12">
        <v>0</v>
      </c>
      <c r="G12" t="s">
        <v>23</v>
      </c>
      <c r="H12">
        <v>15</v>
      </c>
      <c r="I12">
        <v>63908</v>
      </c>
      <c r="J12">
        <v>643</v>
      </c>
      <c r="K12" t="str" cm="1">
        <f t="array" ref="K12">_xlfn.IFS(J12&lt;600,"520-599",J12&lt;650,"600-649",J12&lt;700,"650-699",J12&lt;750,"700-749",TRUE,"750+")</f>
        <v>600-649</v>
      </c>
      <c r="L12" t="str" cm="1">
        <f t="array" ref="L12">_xlfn.IFS(E12&lt;20,"1. Under 20",E12&lt;30,"2. 20-29",E12&lt;40,"3. 30-39",E12&lt;50,"4. 40-49",E12&lt;60,"5. 50-59",E12&lt;70,"6. 60-69",E12&lt;80,"7. 70-79",TRUE,"8. 80+")</f>
        <v>1. Under 20</v>
      </c>
      <c r="M12" t="str">
        <f t="shared" si="0"/>
        <v>2+ years</v>
      </c>
    </row>
    <row r="13" spans="1:13" x14ac:dyDescent="0.25">
      <c r="A13" t="s">
        <v>24</v>
      </c>
      <c r="B13" t="s">
        <v>19</v>
      </c>
      <c r="C13">
        <v>2700</v>
      </c>
      <c r="D13">
        <v>12.73</v>
      </c>
      <c r="E13">
        <v>13.5</v>
      </c>
      <c r="F13">
        <v>0</v>
      </c>
      <c r="G13" t="s">
        <v>23</v>
      </c>
      <c r="H13">
        <v>15</v>
      </c>
      <c r="I13">
        <v>63908</v>
      </c>
      <c r="J13">
        <v>643</v>
      </c>
      <c r="K13" t="str" cm="1">
        <f t="array" ref="K13">_xlfn.IFS(J13&lt;600,"520-599",J13&lt;650,"600-649",J13&lt;700,"650-699",J13&lt;750,"700-749",TRUE,"750+")</f>
        <v>600-649</v>
      </c>
      <c r="L13" t="str" cm="1">
        <f t="array" ref="L13">_xlfn.IFS(E13&lt;20,"1. Under 20",E13&lt;30,"2. 20-29",E13&lt;40,"3. 30-39",E13&lt;50,"4. 40-49",E13&lt;60,"5. 50-59",E13&lt;70,"6. 60-69",E13&lt;80,"7. 70-79",TRUE,"8. 80+")</f>
        <v>1. Under 20</v>
      </c>
      <c r="M13" t="str">
        <f t="shared" si="0"/>
        <v>2+ years</v>
      </c>
    </row>
    <row r="14" spans="1:13" x14ac:dyDescent="0.25">
      <c r="A14" t="s">
        <v>25</v>
      </c>
      <c r="B14" t="s">
        <v>26</v>
      </c>
      <c r="C14">
        <v>15700</v>
      </c>
      <c r="D14">
        <v>6.57</v>
      </c>
      <c r="E14">
        <v>126</v>
      </c>
      <c r="F14">
        <v>0</v>
      </c>
      <c r="G14" t="s">
        <v>23</v>
      </c>
      <c r="H14">
        <v>6</v>
      </c>
      <c r="I14">
        <v>22845</v>
      </c>
      <c r="J14">
        <v>824</v>
      </c>
      <c r="K14" t="str" cm="1">
        <f t="array" ref="K14">_xlfn.IFS(J14&lt;600,"520-599",J14&lt;650,"600-649",J14&lt;700,"650-699",J14&lt;750,"700-749",TRUE,"750+")</f>
        <v>750+</v>
      </c>
      <c r="L14" t="str" cm="1">
        <f t="array" ref="L14">_xlfn.IFS(E14&lt;20,"1. Under 20",E14&lt;30,"2. 20-29",E14&lt;40,"3. 30-39",E14&lt;50,"4. 40-49",E14&lt;60,"5. 50-59",E14&lt;70,"6. 60-69",E14&lt;80,"7. 70-79",TRUE,"8. 80+")</f>
        <v>8. 80+</v>
      </c>
      <c r="M14" t="str">
        <f t="shared" si="0"/>
        <v>2+ years</v>
      </c>
    </row>
    <row r="15" spans="1:13" x14ac:dyDescent="0.25">
      <c r="A15" t="s">
        <v>27</v>
      </c>
      <c r="B15" t="s">
        <v>6</v>
      </c>
      <c r="C15">
        <v>38300</v>
      </c>
      <c r="D15">
        <v>13.9</v>
      </c>
      <c r="E15">
        <v>63.6</v>
      </c>
      <c r="F15">
        <v>0</v>
      </c>
      <c r="G15" t="s">
        <v>7</v>
      </c>
      <c r="H15">
        <v>2</v>
      </c>
      <c r="I15">
        <v>43606</v>
      </c>
      <c r="J15">
        <v>586</v>
      </c>
      <c r="K15" t="str" cm="1">
        <f t="array" ref="K15">_xlfn.IFS(J15&lt;600,"520-599",J15&lt;650,"600-649",J15&lt;700,"650-699",J15&lt;750,"700-749",TRUE,"750+")</f>
        <v>520-599</v>
      </c>
      <c r="L15" t="str" cm="1">
        <f t="array" ref="L15">_xlfn.IFS(E15&lt;20,"1. Under 20",E15&lt;30,"2. 20-29",E15&lt;40,"3. 30-39",E15&lt;50,"4. 40-49",E15&lt;60,"5. 50-59",E15&lt;70,"6. 60-69",E15&lt;80,"7. 70-79",TRUE,"8. 80+")</f>
        <v>6. 60-69</v>
      </c>
      <c r="M15" t="str">
        <f t="shared" si="0"/>
        <v>2+ years</v>
      </c>
    </row>
    <row r="16" spans="1:13" x14ac:dyDescent="0.25">
      <c r="A16" t="s">
        <v>28</v>
      </c>
      <c r="B16" t="s">
        <v>1</v>
      </c>
      <c r="C16">
        <v>28800</v>
      </c>
      <c r="D16">
        <v>9.94</v>
      </c>
      <c r="E16">
        <v>48.3</v>
      </c>
      <c r="F16">
        <v>0</v>
      </c>
      <c r="G16" t="s">
        <v>29</v>
      </c>
      <c r="H16">
        <v>0</v>
      </c>
      <c r="I16">
        <v>44614</v>
      </c>
      <c r="J16">
        <v>813</v>
      </c>
      <c r="K16" t="str" cm="1">
        <f t="array" ref="K16">_xlfn.IFS(J16&lt;600,"520-599",J16&lt;650,"600-649",J16&lt;700,"650-699",J16&lt;750,"700-749",TRUE,"750+")</f>
        <v>750+</v>
      </c>
      <c r="L16" t="str" cm="1">
        <f t="array" ref="L16">_xlfn.IFS(E16&lt;20,"1. Under 20",E16&lt;30,"2. 20-29",E16&lt;40,"3. 30-39",E16&lt;50,"4. 40-49",E16&lt;60,"5. 50-59",E16&lt;70,"6. 60-69",E16&lt;80,"7. 70-79",TRUE,"8. 80+")</f>
        <v>4. 40-49</v>
      </c>
      <c r="M16" t="str">
        <f t="shared" si="0"/>
        <v>Under 2 years</v>
      </c>
    </row>
    <row r="17" spans="1:13" x14ac:dyDescent="0.25">
      <c r="A17" t="s">
        <v>30</v>
      </c>
      <c r="B17" t="s">
        <v>1</v>
      </c>
      <c r="C17">
        <v>23700</v>
      </c>
      <c r="D17">
        <v>7.25</v>
      </c>
      <c r="E17">
        <v>44.5</v>
      </c>
      <c r="F17">
        <v>1</v>
      </c>
      <c r="G17" t="s">
        <v>29</v>
      </c>
      <c r="H17">
        <v>0</v>
      </c>
      <c r="I17">
        <v>44614</v>
      </c>
      <c r="J17">
        <v>813</v>
      </c>
      <c r="K17" t="str" cm="1">
        <f t="array" ref="K17">_xlfn.IFS(J17&lt;600,"520-599",J17&lt;650,"600-649",J17&lt;700,"650-699",J17&lt;750,"700-749",TRUE,"750+")</f>
        <v>750+</v>
      </c>
      <c r="L17" t="str" cm="1">
        <f t="array" ref="L17">_xlfn.IFS(E17&lt;20,"1. Under 20",E17&lt;30,"2. 20-29",E17&lt;40,"3. 30-39",E17&lt;50,"4. 40-49",E17&lt;60,"5. 50-59",E17&lt;70,"6. 60-69",E17&lt;80,"7. 70-79",TRUE,"8. 80+")</f>
        <v>4. 40-49</v>
      </c>
      <c r="M17" t="str">
        <f t="shared" si="0"/>
        <v>Under 2 years</v>
      </c>
    </row>
    <row r="18" spans="1:13" x14ac:dyDescent="0.25">
      <c r="A18" t="s">
        <v>31</v>
      </c>
      <c r="B18" t="s">
        <v>6</v>
      </c>
      <c r="C18">
        <v>2000</v>
      </c>
      <c r="D18">
        <v>11.65</v>
      </c>
      <c r="E18">
        <v>18.8</v>
      </c>
      <c r="F18">
        <v>0</v>
      </c>
      <c r="G18" t="s">
        <v>7</v>
      </c>
      <c r="H18">
        <v>14</v>
      </c>
      <c r="I18">
        <v>79782</v>
      </c>
      <c r="J18">
        <v>615</v>
      </c>
      <c r="K18" t="str" cm="1">
        <f t="array" ref="K18">_xlfn.IFS(J18&lt;600,"520-599",J18&lt;650,"600-649",J18&lt;700,"650-699",J18&lt;750,"700-749",TRUE,"750+")</f>
        <v>600-649</v>
      </c>
      <c r="L18" t="str" cm="1">
        <f t="array" ref="L18">_xlfn.IFS(E18&lt;20,"1. Under 20",E18&lt;30,"2. 20-29",E18&lt;40,"3. 30-39",E18&lt;50,"4. 40-49",E18&lt;60,"5. 50-59",E18&lt;70,"6. 60-69",E18&lt;80,"7. 70-79",TRUE,"8. 80+")</f>
        <v>1. Under 20</v>
      </c>
      <c r="M18" t="str">
        <f t="shared" si="0"/>
        <v>2+ years</v>
      </c>
    </row>
    <row r="19" spans="1:13" x14ac:dyDescent="0.25">
      <c r="A19" t="s">
        <v>32</v>
      </c>
      <c r="B19" t="s">
        <v>26</v>
      </c>
      <c r="C19">
        <v>34300</v>
      </c>
      <c r="D19">
        <v>13.85</v>
      </c>
      <c r="E19">
        <v>30.1</v>
      </c>
      <c r="F19">
        <v>0</v>
      </c>
      <c r="G19" t="s">
        <v>7</v>
      </c>
      <c r="H19">
        <v>14</v>
      </c>
      <c r="I19">
        <v>79782</v>
      </c>
      <c r="J19">
        <v>615</v>
      </c>
      <c r="K19" t="str" cm="1">
        <f t="array" ref="K19">_xlfn.IFS(J19&lt;600,"520-599",J19&lt;650,"600-649",J19&lt;700,"650-699",J19&lt;750,"700-749",TRUE,"750+")</f>
        <v>600-649</v>
      </c>
      <c r="L19" t="str" cm="1">
        <f t="array" ref="L19">_xlfn.IFS(E19&lt;20,"1. Under 20",E19&lt;30,"2. 20-29",E19&lt;40,"3. 30-39",E19&lt;50,"4. 40-49",E19&lt;60,"5. 50-59",E19&lt;70,"6. 60-69",E19&lt;80,"7. 70-79",TRUE,"8. 80+")</f>
        <v>3. 30-39</v>
      </c>
      <c r="M19" t="str">
        <f t="shared" si="0"/>
        <v>2+ years</v>
      </c>
    </row>
    <row r="20" spans="1:13" x14ac:dyDescent="0.25">
      <c r="A20" t="s">
        <v>33</v>
      </c>
      <c r="B20" t="s">
        <v>13</v>
      </c>
      <c r="C20">
        <v>17500</v>
      </c>
      <c r="D20">
        <v>8.4499999999999993</v>
      </c>
      <c r="E20">
        <v>41.4</v>
      </c>
      <c r="F20">
        <v>1</v>
      </c>
      <c r="G20" t="s">
        <v>7</v>
      </c>
      <c r="H20">
        <v>19</v>
      </c>
      <c r="I20">
        <v>63730</v>
      </c>
      <c r="J20">
        <v>850</v>
      </c>
      <c r="K20" t="str" cm="1">
        <f t="array" ref="K20">_xlfn.IFS(J20&lt;600,"520-599",J20&lt;650,"600-649",J20&lt;700,"650-699",J20&lt;750,"700-749",TRUE,"750+")</f>
        <v>750+</v>
      </c>
      <c r="L20" t="str" cm="1">
        <f t="array" ref="L20">_xlfn.IFS(E20&lt;20,"1. Under 20",E20&lt;30,"2. 20-29",E20&lt;40,"3. 30-39",E20&lt;50,"4. 40-49",E20&lt;60,"5. 50-59",E20&lt;70,"6. 60-69",E20&lt;80,"7. 70-79",TRUE,"8. 80+")</f>
        <v>4. 40-49</v>
      </c>
      <c r="M20" t="str">
        <f t="shared" si="0"/>
        <v>2+ years</v>
      </c>
    </row>
    <row r="21" spans="1:13" x14ac:dyDescent="0.25">
      <c r="A21" t="s">
        <v>34</v>
      </c>
      <c r="B21" t="s">
        <v>21</v>
      </c>
      <c r="C21">
        <v>20600</v>
      </c>
      <c r="D21">
        <v>11.24</v>
      </c>
      <c r="E21">
        <v>52.5</v>
      </c>
      <c r="F21">
        <v>0</v>
      </c>
      <c r="G21" t="s">
        <v>2</v>
      </c>
      <c r="H21">
        <v>9</v>
      </c>
      <c r="I21">
        <v>74436</v>
      </c>
      <c r="J21">
        <v>535</v>
      </c>
      <c r="K21" t="str" cm="1">
        <f t="array" ref="K21">_xlfn.IFS(J21&lt;600,"520-599",J21&lt;650,"600-649",J21&lt;700,"650-699",J21&lt;750,"700-749",TRUE,"750+")</f>
        <v>520-599</v>
      </c>
      <c r="L21" t="str" cm="1">
        <f t="array" ref="L21">_xlfn.IFS(E21&lt;20,"1. Under 20",E21&lt;30,"2. 20-29",E21&lt;40,"3. 30-39",E21&lt;50,"4. 40-49",E21&lt;60,"5. 50-59",E21&lt;70,"6. 60-69",E21&lt;80,"7. 70-79",TRUE,"8. 80+")</f>
        <v>5. 50-59</v>
      </c>
      <c r="M21" t="str">
        <f t="shared" si="0"/>
        <v>2+ years</v>
      </c>
    </row>
    <row r="22" spans="1:13" x14ac:dyDescent="0.25">
      <c r="A22" t="s">
        <v>35</v>
      </c>
      <c r="B22" t="s">
        <v>13</v>
      </c>
      <c r="C22">
        <v>23100</v>
      </c>
      <c r="D22">
        <v>15.15</v>
      </c>
      <c r="E22">
        <v>88.1</v>
      </c>
      <c r="F22">
        <v>0</v>
      </c>
      <c r="G22" t="s">
        <v>7</v>
      </c>
      <c r="H22">
        <v>2</v>
      </c>
      <c r="I22">
        <v>55611</v>
      </c>
      <c r="J22">
        <v>570</v>
      </c>
      <c r="K22" t="str" cm="1">
        <f t="array" ref="K22">_xlfn.IFS(J22&lt;600,"520-599",J22&lt;650,"600-649",J22&lt;700,"650-699",J22&lt;750,"700-749",TRUE,"750+")</f>
        <v>520-599</v>
      </c>
      <c r="L22" t="str" cm="1">
        <f t="array" ref="L22">_xlfn.IFS(E22&lt;20,"1. Under 20",E22&lt;30,"2. 20-29",E22&lt;40,"3. 30-39",E22&lt;50,"4. 40-49",E22&lt;60,"5. 50-59",E22&lt;70,"6. 60-69",E22&lt;80,"7. 70-79",TRUE,"8. 80+")</f>
        <v>8. 80+</v>
      </c>
      <c r="M22" t="str">
        <f t="shared" si="0"/>
        <v>2+ years</v>
      </c>
    </row>
    <row r="23" spans="1:13" x14ac:dyDescent="0.25">
      <c r="A23" t="s">
        <v>36</v>
      </c>
      <c r="B23" t="s">
        <v>21</v>
      </c>
      <c r="C23">
        <v>23300</v>
      </c>
      <c r="D23">
        <v>13.03</v>
      </c>
      <c r="E23">
        <v>69.400000000000006</v>
      </c>
      <c r="F23">
        <v>0</v>
      </c>
      <c r="G23" t="s">
        <v>7</v>
      </c>
      <c r="H23">
        <v>8</v>
      </c>
      <c r="I23">
        <v>41753</v>
      </c>
      <c r="J23">
        <v>665</v>
      </c>
      <c r="K23" t="str" cm="1">
        <f t="array" ref="K23">_xlfn.IFS(J23&lt;600,"520-599",J23&lt;650,"600-649",J23&lt;700,"650-699",J23&lt;750,"700-749",TRUE,"750+")</f>
        <v>650-699</v>
      </c>
      <c r="L23" t="str" cm="1">
        <f t="array" ref="L23">_xlfn.IFS(E23&lt;20,"1. Under 20",E23&lt;30,"2. 20-29",E23&lt;40,"3. 30-39",E23&lt;50,"4. 40-49",E23&lt;60,"5. 50-59",E23&lt;70,"6. 60-69",E23&lt;80,"7. 70-79",TRUE,"8. 80+")</f>
        <v>6. 60-69</v>
      </c>
      <c r="M23" t="str">
        <f t="shared" si="0"/>
        <v>2+ years</v>
      </c>
    </row>
    <row r="24" spans="1:13" x14ac:dyDescent="0.25">
      <c r="A24" t="s">
        <v>37</v>
      </c>
      <c r="B24" t="s">
        <v>9</v>
      </c>
      <c r="C24">
        <v>7200</v>
      </c>
      <c r="D24">
        <v>8.39</v>
      </c>
      <c r="E24">
        <v>18.899999999999999</v>
      </c>
      <c r="F24">
        <v>0</v>
      </c>
      <c r="G24" t="s">
        <v>2</v>
      </c>
      <c r="H24">
        <v>28</v>
      </c>
      <c r="I24">
        <v>66055</v>
      </c>
      <c r="J24">
        <v>726</v>
      </c>
      <c r="K24" t="str" cm="1">
        <f t="array" ref="K24">_xlfn.IFS(J24&lt;600,"520-599",J24&lt;650,"600-649",J24&lt;700,"650-699",J24&lt;750,"700-749",TRUE,"750+")</f>
        <v>700-749</v>
      </c>
      <c r="L24" t="str" cm="1">
        <f t="array" ref="L24">_xlfn.IFS(E24&lt;20,"1. Under 20",E24&lt;30,"2. 20-29",E24&lt;40,"3. 30-39",E24&lt;50,"4. 40-49",E24&lt;60,"5. 50-59",E24&lt;70,"6. 60-69",E24&lt;80,"7. 70-79",TRUE,"8. 80+")</f>
        <v>1. Under 20</v>
      </c>
      <c r="M24" t="str">
        <f t="shared" si="0"/>
        <v>2+ years</v>
      </c>
    </row>
    <row r="25" spans="1:13" x14ac:dyDescent="0.25">
      <c r="A25" t="s">
        <v>38</v>
      </c>
      <c r="B25" t="s">
        <v>15</v>
      </c>
      <c r="C25">
        <v>13700</v>
      </c>
      <c r="D25">
        <v>15.03</v>
      </c>
      <c r="E25">
        <v>112.8</v>
      </c>
      <c r="F25">
        <v>0</v>
      </c>
      <c r="G25" t="s">
        <v>23</v>
      </c>
      <c r="H25">
        <v>2</v>
      </c>
      <c r="I25">
        <v>23712</v>
      </c>
      <c r="J25">
        <v>528</v>
      </c>
      <c r="K25" t="str" cm="1">
        <f t="array" ref="K25">_xlfn.IFS(J25&lt;600,"520-599",J25&lt;650,"600-649",J25&lt;700,"650-699",J25&lt;750,"700-749",TRUE,"750+")</f>
        <v>520-599</v>
      </c>
      <c r="L25" t="str" cm="1">
        <f t="array" ref="L25">_xlfn.IFS(E25&lt;20,"1. Under 20",E25&lt;30,"2. 20-29",E25&lt;40,"3. 30-39",E25&lt;50,"4. 40-49",E25&lt;60,"5. 50-59",E25&lt;70,"6. 60-69",E25&lt;80,"7. 70-79",TRUE,"8. 80+")</f>
        <v>8. 80+</v>
      </c>
      <c r="M25" t="str">
        <f t="shared" si="0"/>
        <v>2+ years</v>
      </c>
    </row>
    <row r="26" spans="1:13" x14ac:dyDescent="0.25">
      <c r="A26" t="s">
        <v>39</v>
      </c>
      <c r="B26" t="s">
        <v>15</v>
      </c>
      <c r="C26">
        <v>23300</v>
      </c>
      <c r="D26">
        <v>12.02</v>
      </c>
      <c r="E26">
        <v>62.4</v>
      </c>
      <c r="F26">
        <v>0</v>
      </c>
      <c r="G26" t="s">
        <v>7</v>
      </c>
      <c r="H26">
        <v>17</v>
      </c>
      <c r="I26">
        <v>45948</v>
      </c>
      <c r="J26">
        <v>639</v>
      </c>
      <c r="K26" t="str" cm="1">
        <f t="array" ref="K26">_xlfn.IFS(J26&lt;600,"520-599",J26&lt;650,"600-649",J26&lt;700,"650-699",J26&lt;750,"700-749",TRUE,"750+")</f>
        <v>600-649</v>
      </c>
      <c r="L26" t="str" cm="1">
        <f t="array" ref="L26">_xlfn.IFS(E26&lt;20,"1. Under 20",E26&lt;30,"2. 20-29",E26&lt;40,"3. 30-39",E26&lt;50,"4. 40-49",E26&lt;60,"5. 50-59",E26&lt;70,"6. 60-69",E26&lt;80,"7. 70-79",TRUE,"8. 80+")</f>
        <v>6. 60-69</v>
      </c>
      <c r="M26" t="str">
        <f t="shared" si="0"/>
        <v>2+ years</v>
      </c>
    </row>
    <row r="27" spans="1:13" x14ac:dyDescent="0.25">
      <c r="A27" t="s">
        <v>40</v>
      </c>
      <c r="B27" t="s">
        <v>13</v>
      </c>
      <c r="C27">
        <v>32400</v>
      </c>
      <c r="D27">
        <v>13.31</v>
      </c>
      <c r="E27">
        <v>60</v>
      </c>
      <c r="F27">
        <v>1</v>
      </c>
      <c r="G27" t="s">
        <v>10</v>
      </c>
      <c r="H27">
        <v>13</v>
      </c>
      <c r="I27">
        <v>70937</v>
      </c>
      <c r="J27">
        <v>584</v>
      </c>
      <c r="K27" t="str" cm="1">
        <f t="array" ref="K27">_xlfn.IFS(J27&lt;600,"520-599",J27&lt;650,"600-649",J27&lt;700,"650-699",J27&lt;750,"700-749",TRUE,"750+")</f>
        <v>520-599</v>
      </c>
      <c r="L27" t="str" cm="1">
        <f t="array" ref="L27">_xlfn.IFS(E27&lt;20,"1. Under 20",E27&lt;30,"2. 20-29",E27&lt;40,"3. 30-39",E27&lt;50,"4. 40-49",E27&lt;60,"5. 50-59",E27&lt;70,"6. 60-69",E27&lt;80,"7. 70-79",TRUE,"8. 80+")</f>
        <v>6. 60-69</v>
      </c>
      <c r="M27" t="str">
        <f t="shared" si="0"/>
        <v>2+ years</v>
      </c>
    </row>
    <row r="28" spans="1:13" x14ac:dyDescent="0.25">
      <c r="A28" t="s">
        <v>41</v>
      </c>
      <c r="B28" t="s">
        <v>9</v>
      </c>
      <c r="C28">
        <v>23700</v>
      </c>
      <c r="D28">
        <v>10.27</v>
      </c>
      <c r="E28">
        <v>51.7</v>
      </c>
      <c r="F28">
        <v>0</v>
      </c>
      <c r="G28" t="s">
        <v>10</v>
      </c>
      <c r="H28">
        <v>13</v>
      </c>
      <c r="I28">
        <v>70937</v>
      </c>
      <c r="J28">
        <v>584</v>
      </c>
      <c r="K28" t="str" cm="1">
        <f t="array" ref="K28">_xlfn.IFS(J28&lt;600,"520-599",J28&lt;650,"600-649",J28&lt;700,"650-699",J28&lt;750,"700-749",TRUE,"750+")</f>
        <v>520-599</v>
      </c>
      <c r="L28" t="str" cm="1">
        <f t="array" ref="L28">_xlfn.IFS(E28&lt;20,"1. Under 20",E28&lt;30,"2. 20-29",E28&lt;40,"3. 30-39",E28&lt;50,"4. 40-49",E28&lt;60,"5. 50-59",E28&lt;70,"6. 60-69",E28&lt;80,"7. 70-79",TRUE,"8. 80+")</f>
        <v>5. 50-59</v>
      </c>
      <c r="M28" t="str">
        <f t="shared" si="0"/>
        <v>2+ years</v>
      </c>
    </row>
    <row r="29" spans="1:13" x14ac:dyDescent="0.25">
      <c r="A29" t="s">
        <v>42</v>
      </c>
      <c r="B29" t="s">
        <v>9</v>
      </c>
      <c r="C29">
        <v>7400</v>
      </c>
      <c r="D29">
        <v>12.65</v>
      </c>
      <c r="E29">
        <v>29.2</v>
      </c>
      <c r="F29">
        <v>0</v>
      </c>
      <c r="G29" t="s">
        <v>23</v>
      </c>
      <c r="H29">
        <v>6</v>
      </c>
      <c r="I29">
        <v>24456</v>
      </c>
      <c r="J29">
        <v>698</v>
      </c>
      <c r="K29" t="str" cm="1">
        <f t="array" ref="K29">_xlfn.IFS(J29&lt;600,"520-599",J29&lt;650,"600-649",J29&lt;700,"650-699",J29&lt;750,"700-749",TRUE,"750+")</f>
        <v>650-699</v>
      </c>
      <c r="L29" t="str" cm="1">
        <f t="array" ref="L29">_xlfn.IFS(E29&lt;20,"1. Under 20",E29&lt;30,"2. 20-29",E29&lt;40,"3. 30-39",E29&lt;50,"4. 40-49",E29&lt;60,"5. 50-59",E29&lt;70,"6. 60-69",E29&lt;80,"7. 70-79",TRUE,"8. 80+")</f>
        <v>2. 20-29</v>
      </c>
      <c r="M29" t="str">
        <f t="shared" si="0"/>
        <v>2+ years</v>
      </c>
    </row>
    <row r="30" spans="1:13" x14ac:dyDescent="0.25">
      <c r="A30" t="s">
        <v>43</v>
      </c>
      <c r="B30" t="s">
        <v>6</v>
      </c>
      <c r="C30">
        <v>13600</v>
      </c>
      <c r="D30">
        <v>9.14</v>
      </c>
      <c r="E30">
        <v>25.9</v>
      </c>
      <c r="F30">
        <v>0</v>
      </c>
      <c r="G30" t="s">
        <v>23</v>
      </c>
      <c r="H30">
        <v>6</v>
      </c>
      <c r="I30">
        <v>24456</v>
      </c>
      <c r="J30">
        <v>698</v>
      </c>
      <c r="K30" t="str" cm="1">
        <f t="array" ref="K30">_xlfn.IFS(J30&lt;600,"520-599",J30&lt;650,"600-649",J30&lt;700,"650-699",J30&lt;750,"700-749",TRUE,"750+")</f>
        <v>650-699</v>
      </c>
      <c r="L30" t="str" cm="1">
        <f t="array" ref="L30">_xlfn.IFS(E30&lt;20,"1. Under 20",E30&lt;30,"2. 20-29",E30&lt;40,"3. 30-39",E30&lt;50,"4. 40-49",E30&lt;60,"5. 50-59",E30&lt;70,"6. 60-69",E30&lt;80,"7. 70-79",TRUE,"8. 80+")</f>
        <v>2. 20-29</v>
      </c>
      <c r="M30" t="str">
        <f t="shared" si="0"/>
        <v>2+ years</v>
      </c>
    </row>
    <row r="31" spans="1:13" x14ac:dyDescent="0.25">
      <c r="A31" t="s">
        <v>44</v>
      </c>
      <c r="B31" t="s">
        <v>19</v>
      </c>
      <c r="C31">
        <v>34200</v>
      </c>
      <c r="D31">
        <v>10.17</v>
      </c>
      <c r="E31">
        <v>87.7</v>
      </c>
      <c r="F31">
        <v>0</v>
      </c>
      <c r="G31" t="s">
        <v>7</v>
      </c>
      <c r="H31">
        <v>12</v>
      </c>
      <c r="I31">
        <v>72054</v>
      </c>
      <c r="J31">
        <v>761</v>
      </c>
      <c r="K31" t="str" cm="1">
        <f t="array" ref="K31">_xlfn.IFS(J31&lt;600,"520-599",J31&lt;650,"600-649",J31&lt;700,"650-699",J31&lt;750,"700-749",TRUE,"750+")</f>
        <v>750+</v>
      </c>
      <c r="L31" t="str" cm="1">
        <f t="array" ref="L31">_xlfn.IFS(E31&lt;20,"1. Under 20",E31&lt;30,"2. 20-29",E31&lt;40,"3. 30-39",E31&lt;50,"4. 40-49",E31&lt;60,"5. 50-59",E31&lt;70,"6. 60-69",E31&lt;80,"7. 70-79",TRUE,"8. 80+")</f>
        <v>8. 80+</v>
      </c>
      <c r="M31" t="str">
        <f t="shared" si="0"/>
        <v>2+ years</v>
      </c>
    </row>
    <row r="32" spans="1:13" x14ac:dyDescent="0.25">
      <c r="A32" t="s">
        <v>45</v>
      </c>
      <c r="B32" t="s">
        <v>15</v>
      </c>
      <c r="C32">
        <v>45200</v>
      </c>
      <c r="D32">
        <v>11.41</v>
      </c>
      <c r="E32">
        <v>54.1</v>
      </c>
      <c r="F32">
        <v>0</v>
      </c>
      <c r="G32" t="s">
        <v>7</v>
      </c>
      <c r="H32">
        <v>12</v>
      </c>
      <c r="I32">
        <v>72054</v>
      </c>
      <c r="J32">
        <v>761</v>
      </c>
      <c r="K32" t="str" cm="1">
        <f t="array" ref="K32">_xlfn.IFS(J32&lt;600,"520-599",J32&lt;650,"600-649",J32&lt;700,"650-699",J32&lt;750,"700-749",TRUE,"750+")</f>
        <v>750+</v>
      </c>
      <c r="L32" t="str" cm="1">
        <f t="array" ref="L32">_xlfn.IFS(E32&lt;20,"1. Under 20",E32&lt;30,"2. 20-29",E32&lt;40,"3. 30-39",E32&lt;50,"4. 40-49",E32&lt;60,"5. 50-59",E32&lt;70,"6. 60-69",E32&lt;80,"7. 70-79",TRUE,"8. 80+")</f>
        <v>5. 50-59</v>
      </c>
      <c r="M32" t="str">
        <f t="shared" si="0"/>
        <v>2+ years</v>
      </c>
    </row>
    <row r="33" spans="1:13" x14ac:dyDescent="0.25">
      <c r="A33" t="s">
        <v>46</v>
      </c>
      <c r="B33" t="s">
        <v>17</v>
      </c>
      <c r="C33">
        <v>46200</v>
      </c>
      <c r="D33">
        <v>10.72</v>
      </c>
      <c r="E33">
        <v>47.5</v>
      </c>
      <c r="F33">
        <v>0</v>
      </c>
      <c r="G33" t="s">
        <v>29</v>
      </c>
      <c r="H33">
        <v>10</v>
      </c>
      <c r="I33">
        <v>80449</v>
      </c>
      <c r="J33">
        <v>661</v>
      </c>
      <c r="K33" t="str" cm="1">
        <f t="array" ref="K33">_xlfn.IFS(J33&lt;600,"520-599",J33&lt;650,"600-649",J33&lt;700,"650-699",J33&lt;750,"700-749",TRUE,"750+")</f>
        <v>650-699</v>
      </c>
      <c r="L33" t="str" cm="1">
        <f t="array" ref="L33">_xlfn.IFS(E33&lt;20,"1. Under 20",E33&lt;30,"2. 20-29",E33&lt;40,"3. 30-39",E33&lt;50,"4. 40-49",E33&lt;60,"5. 50-59",E33&lt;70,"6. 60-69",E33&lt;80,"7. 70-79",TRUE,"8. 80+")</f>
        <v>4. 40-49</v>
      </c>
      <c r="M33" t="str">
        <f t="shared" si="0"/>
        <v>2+ years</v>
      </c>
    </row>
    <row r="34" spans="1:13" x14ac:dyDescent="0.25">
      <c r="A34" t="s">
        <v>47</v>
      </c>
      <c r="B34" t="s">
        <v>26</v>
      </c>
      <c r="C34">
        <v>32400</v>
      </c>
      <c r="D34">
        <v>7.65</v>
      </c>
      <c r="E34">
        <v>58.9</v>
      </c>
      <c r="F34">
        <v>1</v>
      </c>
      <c r="G34" t="s">
        <v>7</v>
      </c>
      <c r="H34">
        <v>2</v>
      </c>
      <c r="I34">
        <v>36142</v>
      </c>
      <c r="J34">
        <v>757</v>
      </c>
      <c r="K34" t="str" cm="1">
        <f t="array" ref="K34">_xlfn.IFS(J34&lt;600,"520-599",J34&lt;650,"600-649",J34&lt;700,"650-699",J34&lt;750,"700-749",TRUE,"750+")</f>
        <v>750+</v>
      </c>
      <c r="L34" t="str" cm="1">
        <f t="array" ref="L34">_xlfn.IFS(E34&lt;20,"1. Under 20",E34&lt;30,"2. 20-29",E34&lt;40,"3. 30-39",E34&lt;50,"4. 40-49",E34&lt;60,"5. 50-59",E34&lt;70,"6. 60-69",E34&lt;80,"7. 70-79",TRUE,"8. 80+")</f>
        <v>5. 50-59</v>
      </c>
      <c r="M34" t="str">
        <f t="shared" si="0"/>
        <v>2+ years</v>
      </c>
    </row>
    <row r="35" spans="1:13" x14ac:dyDescent="0.25">
      <c r="A35" t="s">
        <v>48</v>
      </c>
      <c r="B35" t="s">
        <v>13</v>
      </c>
      <c r="C35">
        <v>12400</v>
      </c>
      <c r="D35">
        <v>14.05</v>
      </c>
      <c r="E35">
        <v>58.7</v>
      </c>
      <c r="F35">
        <v>0</v>
      </c>
      <c r="G35" t="s">
        <v>7</v>
      </c>
      <c r="H35">
        <v>34</v>
      </c>
      <c r="I35">
        <v>54489</v>
      </c>
      <c r="J35">
        <v>559</v>
      </c>
      <c r="K35" t="str" cm="1">
        <f t="array" ref="K35">_xlfn.IFS(J35&lt;600,"520-599",J35&lt;650,"600-649",J35&lt;700,"650-699",J35&lt;750,"700-749",TRUE,"750+")</f>
        <v>520-599</v>
      </c>
      <c r="L35" t="str" cm="1">
        <f t="array" ref="L35">_xlfn.IFS(E35&lt;20,"1. Under 20",E35&lt;30,"2. 20-29",E35&lt;40,"3. 30-39",E35&lt;50,"4. 40-49",E35&lt;60,"5. 50-59",E35&lt;70,"6. 60-69",E35&lt;80,"7. 70-79",TRUE,"8. 80+")</f>
        <v>5. 50-59</v>
      </c>
      <c r="M35" t="str">
        <f t="shared" si="0"/>
        <v>2+ years</v>
      </c>
    </row>
    <row r="36" spans="1:13" x14ac:dyDescent="0.25">
      <c r="A36" t="s">
        <v>49</v>
      </c>
      <c r="B36" t="s">
        <v>4</v>
      </c>
      <c r="C36">
        <v>16400</v>
      </c>
      <c r="D36">
        <v>8.51</v>
      </c>
      <c r="E36">
        <v>53.8</v>
      </c>
      <c r="F36">
        <v>0</v>
      </c>
      <c r="G36" t="s">
        <v>7</v>
      </c>
      <c r="H36">
        <v>5</v>
      </c>
      <c r="I36">
        <v>59480</v>
      </c>
      <c r="J36">
        <v>790</v>
      </c>
      <c r="K36" t="str" cm="1">
        <f t="array" ref="K36">_xlfn.IFS(J36&lt;600,"520-599",J36&lt;650,"600-649",J36&lt;700,"650-699",J36&lt;750,"700-749",TRUE,"750+")</f>
        <v>750+</v>
      </c>
      <c r="L36" t="str" cm="1">
        <f t="array" ref="L36">_xlfn.IFS(E36&lt;20,"1. Under 20",E36&lt;30,"2. 20-29",E36&lt;40,"3. 30-39",E36&lt;50,"4. 40-49",E36&lt;60,"5. 50-59",E36&lt;70,"6. 60-69",E36&lt;80,"7. 70-79",TRUE,"8. 80+")</f>
        <v>5. 50-59</v>
      </c>
      <c r="M36" t="str">
        <f t="shared" si="0"/>
        <v>2+ years</v>
      </c>
    </row>
    <row r="37" spans="1:13" x14ac:dyDescent="0.25">
      <c r="A37" t="s">
        <v>50</v>
      </c>
      <c r="B37" t="s">
        <v>6</v>
      </c>
      <c r="C37">
        <v>27100</v>
      </c>
      <c r="D37">
        <v>8.64</v>
      </c>
      <c r="E37">
        <v>65.3</v>
      </c>
      <c r="F37">
        <v>0</v>
      </c>
      <c r="G37" t="s">
        <v>29</v>
      </c>
      <c r="H37">
        <v>1</v>
      </c>
      <c r="I37">
        <v>46167</v>
      </c>
      <c r="J37">
        <v>826</v>
      </c>
      <c r="K37" t="str" cm="1">
        <f t="array" ref="K37">_xlfn.IFS(J37&lt;600,"520-599",J37&lt;650,"600-649",J37&lt;700,"650-699",J37&lt;750,"700-749",TRUE,"750+")</f>
        <v>750+</v>
      </c>
      <c r="L37" t="str" cm="1">
        <f t="array" ref="L37">_xlfn.IFS(E37&lt;20,"1. Under 20",E37&lt;30,"2. 20-29",E37&lt;40,"3. 30-39",E37&lt;50,"4. 40-49",E37&lt;60,"5. 50-59",E37&lt;70,"6. 60-69",E37&lt;80,"7. 70-79",TRUE,"8. 80+")</f>
        <v>6. 60-69</v>
      </c>
      <c r="M37" t="str">
        <f t="shared" si="0"/>
        <v>Under 2 years</v>
      </c>
    </row>
    <row r="38" spans="1:13" x14ac:dyDescent="0.25">
      <c r="A38" t="s">
        <v>51</v>
      </c>
      <c r="B38" t="s">
        <v>6</v>
      </c>
      <c r="C38">
        <v>5400</v>
      </c>
      <c r="D38">
        <v>10.5</v>
      </c>
      <c r="E38">
        <v>29.3</v>
      </c>
      <c r="F38">
        <v>1</v>
      </c>
      <c r="G38" t="s">
        <v>7</v>
      </c>
      <c r="H38">
        <v>8</v>
      </c>
      <c r="I38">
        <v>116049</v>
      </c>
      <c r="J38">
        <v>667</v>
      </c>
      <c r="K38" t="str" cm="1">
        <f t="array" ref="K38">_xlfn.IFS(J38&lt;600,"520-599",J38&lt;650,"600-649",J38&lt;700,"650-699",J38&lt;750,"700-749",TRUE,"750+")</f>
        <v>650-699</v>
      </c>
      <c r="L38" t="str" cm="1">
        <f t="array" ref="L38">_xlfn.IFS(E38&lt;20,"1. Under 20",E38&lt;30,"2. 20-29",E38&lt;40,"3. 30-39",E38&lt;50,"4. 40-49",E38&lt;60,"5. 50-59",E38&lt;70,"6. 60-69",E38&lt;80,"7. 70-79",TRUE,"8. 80+")</f>
        <v>2. 20-29</v>
      </c>
      <c r="M38" t="str">
        <f t="shared" si="0"/>
        <v>2+ years</v>
      </c>
    </row>
    <row r="39" spans="1:13" x14ac:dyDescent="0.25">
      <c r="A39" t="s">
        <v>52</v>
      </c>
      <c r="B39" t="s">
        <v>13</v>
      </c>
      <c r="C39">
        <v>5500</v>
      </c>
      <c r="D39">
        <v>14.25</v>
      </c>
      <c r="E39">
        <v>77.2</v>
      </c>
      <c r="F39">
        <v>0</v>
      </c>
      <c r="G39" t="s">
        <v>23</v>
      </c>
      <c r="H39">
        <v>0</v>
      </c>
      <c r="I39">
        <v>23219</v>
      </c>
      <c r="J39">
        <v>576</v>
      </c>
      <c r="K39" t="str" cm="1">
        <f t="array" ref="K39">_xlfn.IFS(J39&lt;600,"520-599",J39&lt;650,"600-649",J39&lt;700,"650-699",J39&lt;750,"700-749",TRUE,"750+")</f>
        <v>520-599</v>
      </c>
      <c r="L39" t="str" cm="1">
        <f t="array" ref="L39">_xlfn.IFS(E39&lt;20,"1. Under 20",E39&lt;30,"2. 20-29",E39&lt;40,"3. 30-39",E39&lt;50,"4. 40-49",E39&lt;60,"5. 50-59",E39&lt;70,"6. 60-69",E39&lt;80,"7. 70-79",TRUE,"8. 80+")</f>
        <v>7. 70-79</v>
      </c>
      <c r="M39" t="str">
        <f t="shared" si="0"/>
        <v>Under 2 years</v>
      </c>
    </row>
    <row r="40" spans="1:13" x14ac:dyDescent="0.25">
      <c r="A40" t="s">
        <v>53</v>
      </c>
      <c r="B40" t="s">
        <v>15</v>
      </c>
      <c r="C40">
        <v>46400</v>
      </c>
      <c r="D40">
        <v>7.45</v>
      </c>
      <c r="E40">
        <v>42.1</v>
      </c>
      <c r="F40">
        <v>0</v>
      </c>
      <c r="G40" t="s">
        <v>7</v>
      </c>
      <c r="H40">
        <v>5</v>
      </c>
      <c r="I40">
        <v>68134</v>
      </c>
      <c r="J40">
        <v>813</v>
      </c>
      <c r="K40" t="str" cm="1">
        <f t="array" ref="K40">_xlfn.IFS(J40&lt;600,"520-599",J40&lt;650,"600-649",J40&lt;700,"650-699",J40&lt;750,"700-749",TRUE,"750+")</f>
        <v>750+</v>
      </c>
      <c r="L40" t="str" cm="1">
        <f t="array" ref="L40">_xlfn.IFS(E40&lt;20,"1. Under 20",E40&lt;30,"2. 20-29",E40&lt;40,"3. 30-39",E40&lt;50,"4. 40-49",E40&lt;60,"5. 50-59",E40&lt;70,"6. 60-69",E40&lt;80,"7. 70-79",TRUE,"8. 80+")</f>
        <v>4. 40-49</v>
      </c>
      <c r="M40" t="str">
        <f t="shared" si="0"/>
        <v>2+ years</v>
      </c>
    </row>
    <row r="41" spans="1:13" x14ac:dyDescent="0.25">
      <c r="A41" t="s">
        <v>54</v>
      </c>
      <c r="B41" t="s">
        <v>19</v>
      </c>
      <c r="C41">
        <v>46500</v>
      </c>
      <c r="D41">
        <v>10.02</v>
      </c>
      <c r="E41">
        <v>37.5</v>
      </c>
      <c r="F41">
        <v>0</v>
      </c>
      <c r="G41" t="s">
        <v>2</v>
      </c>
      <c r="H41">
        <v>16</v>
      </c>
      <c r="I41">
        <v>72778</v>
      </c>
      <c r="J41">
        <v>603</v>
      </c>
      <c r="K41" t="str" cm="1">
        <f t="array" ref="K41">_xlfn.IFS(J41&lt;600,"520-599",J41&lt;650,"600-649",J41&lt;700,"650-699",J41&lt;750,"700-749",TRUE,"750+")</f>
        <v>600-649</v>
      </c>
      <c r="L41" t="str" cm="1">
        <f t="array" ref="L41">_xlfn.IFS(E41&lt;20,"1. Under 20",E41&lt;30,"2. 20-29",E41&lt;40,"3. 30-39",E41&lt;50,"4. 40-49",E41&lt;60,"5. 50-59",E41&lt;70,"6. 60-69",E41&lt;80,"7. 70-79",TRUE,"8. 80+")</f>
        <v>3. 30-39</v>
      </c>
      <c r="M41" t="str">
        <f t="shared" si="0"/>
        <v>2+ years</v>
      </c>
    </row>
    <row r="42" spans="1:13" x14ac:dyDescent="0.25">
      <c r="A42" t="s">
        <v>55</v>
      </c>
      <c r="B42" t="s">
        <v>19</v>
      </c>
      <c r="C42">
        <v>16200</v>
      </c>
      <c r="D42">
        <v>8.58</v>
      </c>
      <c r="E42">
        <v>58.8</v>
      </c>
      <c r="F42">
        <v>0</v>
      </c>
      <c r="G42" t="s">
        <v>2</v>
      </c>
      <c r="H42">
        <v>8</v>
      </c>
      <c r="I42">
        <v>53589</v>
      </c>
      <c r="J42">
        <v>850</v>
      </c>
      <c r="K42" t="str" cm="1">
        <f t="array" ref="K42">_xlfn.IFS(J42&lt;600,"520-599",J42&lt;650,"600-649",J42&lt;700,"650-699",J42&lt;750,"700-749",TRUE,"750+")</f>
        <v>750+</v>
      </c>
      <c r="L42" t="str" cm="1">
        <f t="array" ref="L42">_xlfn.IFS(E42&lt;20,"1. Under 20",E42&lt;30,"2. 20-29",E42&lt;40,"3. 30-39",E42&lt;50,"4. 40-49",E42&lt;60,"5. 50-59",E42&lt;70,"6. 60-69",E42&lt;80,"7. 70-79",TRUE,"8. 80+")</f>
        <v>5. 50-59</v>
      </c>
      <c r="M42" t="str">
        <f t="shared" si="0"/>
        <v>2+ years</v>
      </c>
    </row>
    <row r="43" spans="1:13" x14ac:dyDescent="0.25">
      <c r="A43" t="s">
        <v>56</v>
      </c>
      <c r="B43" t="s">
        <v>6</v>
      </c>
      <c r="C43">
        <v>4300</v>
      </c>
      <c r="D43">
        <v>9.34</v>
      </c>
      <c r="E43">
        <v>30.9</v>
      </c>
      <c r="F43">
        <v>1</v>
      </c>
      <c r="G43" t="s">
        <v>10</v>
      </c>
      <c r="H43">
        <v>2</v>
      </c>
      <c r="I43">
        <v>43412</v>
      </c>
      <c r="J43">
        <v>700</v>
      </c>
      <c r="K43" t="str" cm="1">
        <f t="array" ref="K43">_xlfn.IFS(J43&lt;600,"520-599",J43&lt;650,"600-649",J43&lt;700,"650-699",J43&lt;750,"700-749",TRUE,"750+")</f>
        <v>700-749</v>
      </c>
      <c r="L43" t="str" cm="1">
        <f t="array" ref="L43">_xlfn.IFS(E43&lt;20,"1. Under 20",E43&lt;30,"2. 20-29",E43&lt;40,"3. 30-39",E43&lt;50,"4. 40-49",E43&lt;60,"5. 50-59",E43&lt;70,"6. 60-69",E43&lt;80,"7. 70-79",TRUE,"8. 80+")</f>
        <v>3. 30-39</v>
      </c>
      <c r="M43" t="str">
        <f t="shared" si="0"/>
        <v>2+ years</v>
      </c>
    </row>
    <row r="44" spans="1:13" x14ac:dyDescent="0.25">
      <c r="A44" t="s">
        <v>57</v>
      </c>
      <c r="B44" t="s">
        <v>17</v>
      </c>
      <c r="C44">
        <v>10500</v>
      </c>
      <c r="D44">
        <v>12.65</v>
      </c>
      <c r="E44">
        <v>36.799999999999997</v>
      </c>
      <c r="F44">
        <v>0</v>
      </c>
      <c r="G44" t="s">
        <v>10</v>
      </c>
      <c r="H44">
        <v>2</v>
      </c>
      <c r="I44">
        <v>43412</v>
      </c>
      <c r="J44">
        <v>700</v>
      </c>
      <c r="K44" t="str" cm="1">
        <f t="array" ref="K44">_xlfn.IFS(J44&lt;600,"520-599",J44&lt;650,"600-649",J44&lt;700,"650-699",J44&lt;750,"700-749",TRUE,"750+")</f>
        <v>700-749</v>
      </c>
      <c r="L44" t="str" cm="1">
        <f t="array" ref="L44">_xlfn.IFS(E44&lt;20,"1. Under 20",E44&lt;30,"2. 20-29",E44&lt;40,"3. 30-39",E44&lt;50,"4. 40-49",E44&lt;60,"5. 50-59",E44&lt;70,"6. 60-69",E44&lt;80,"7. 70-79",TRUE,"8. 80+")</f>
        <v>3. 30-39</v>
      </c>
      <c r="M44" t="str">
        <f t="shared" si="0"/>
        <v>2+ years</v>
      </c>
    </row>
    <row r="45" spans="1:13" x14ac:dyDescent="0.25">
      <c r="A45" t="s">
        <v>58</v>
      </c>
      <c r="B45" t="s">
        <v>6</v>
      </c>
      <c r="C45">
        <v>6800</v>
      </c>
      <c r="D45">
        <v>12.32</v>
      </c>
      <c r="E45">
        <v>18.399999999999999</v>
      </c>
      <c r="F45">
        <v>1</v>
      </c>
      <c r="G45" t="s">
        <v>7</v>
      </c>
      <c r="H45">
        <v>34</v>
      </c>
      <c r="I45">
        <v>45400</v>
      </c>
      <c r="J45">
        <v>606</v>
      </c>
      <c r="K45" t="str" cm="1">
        <f t="array" ref="K45">_xlfn.IFS(J45&lt;600,"520-599",J45&lt;650,"600-649",J45&lt;700,"650-699",J45&lt;750,"700-749",TRUE,"750+")</f>
        <v>600-649</v>
      </c>
      <c r="L45" t="str" cm="1">
        <f t="array" ref="L45">_xlfn.IFS(E45&lt;20,"1. Under 20",E45&lt;30,"2. 20-29",E45&lt;40,"3. 30-39",E45&lt;50,"4. 40-49",E45&lt;60,"5. 50-59",E45&lt;70,"6. 60-69",E45&lt;80,"7. 70-79",TRUE,"8. 80+")</f>
        <v>1. Under 20</v>
      </c>
      <c r="M45" t="str">
        <f t="shared" si="0"/>
        <v>2+ years</v>
      </c>
    </row>
    <row r="46" spans="1:13" x14ac:dyDescent="0.25">
      <c r="A46" t="s">
        <v>59</v>
      </c>
      <c r="B46" t="s">
        <v>6</v>
      </c>
      <c r="C46">
        <v>28900</v>
      </c>
      <c r="D46">
        <v>10.1</v>
      </c>
      <c r="E46">
        <v>79.599999999999994</v>
      </c>
      <c r="F46">
        <v>1</v>
      </c>
      <c r="G46" t="s">
        <v>7</v>
      </c>
      <c r="H46">
        <v>34</v>
      </c>
      <c r="I46">
        <v>45400</v>
      </c>
      <c r="J46">
        <v>606</v>
      </c>
      <c r="K46" t="str" cm="1">
        <f t="array" ref="K46">_xlfn.IFS(J46&lt;600,"520-599",J46&lt;650,"600-649",J46&lt;700,"650-699",J46&lt;750,"700-749",TRUE,"750+")</f>
        <v>600-649</v>
      </c>
      <c r="L46" t="str" cm="1">
        <f t="array" ref="L46">_xlfn.IFS(E46&lt;20,"1. Under 20",E46&lt;30,"2. 20-29",E46&lt;40,"3. 30-39",E46&lt;50,"4. 40-49",E46&lt;60,"5. 50-59",E46&lt;70,"6. 60-69",E46&lt;80,"7. 70-79",TRUE,"8. 80+")</f>
        <v>7. 70-79</v>
      </c>
      <c r="M46" t="str">
        <f t="shared" si="0"/>
        <v>2+ years</v>
      </c>
    </row>
    <row r="47" spans="1:13" x14ac:dyDescent="0.25">
      <c r="A47" t="s">
        <v>60</v>
      </c>
      <c r="B47" t="s">
        <v>15</v>
      </c>
      <c r="C47">
        <v>12800</v>
      </c>
      <c r="D47">
        <v>13.96</v>
      </c>
      <c r="E47">
        <v>32.200000000000003</v>
      </c>
      <c r="F47">
        <v>0</v>
      </c>
      <c r="G47" t="s">
        <v>7</v>
      </c>
      <c r="H47">
        <v>5</v>
      </c>
      <c r="I47">
        <v>55244</v>
      </c>
      <c r="J47">
        <v>550</v>
      </c>
      <c r="K47" t="str" cm="1">
        <f t="array" ref="K47">_xlfn.IFS(J47&lt;600,"520-599",J47&lt;650,"600-649",J47&lt;700,"650-699",J47&lt;750,"700-749",TRUE,"750+")</f>
        <v>520-599</v>
      </c>
      <c r="L47" t="str" cm="1">
        <f t="array" ref="L47">_xlfn.IFS(E47&lt;20,"1. Under 20",E47&lt;30,"2. 20-29",E47&lt;40,"3. 30-39",E47&lt;50,"4. 40-49",E47&lt;60,"5. 50-59",E47&lt;70,"6. 60-69",E47&lt;80,"7. 70-79",TRUE,"8. 80+")</f>
        <v>3. 30-39</v>
      </c>
      <c r="M47" t="str">
        <f t="shared" si="0"/>
        <v>2+ years</v>
      </c>
    </row>
    <row r="48" spans="1:13" x14ac:dyDescent="0.25">
      <c r="A48" t="s">
        <v>61</v>
      </c>
      <c r="B48" t="s">
        <v>9</v>
      </c>
      <c r="C48">
        <v>44700</v>
      </c>
      <c r="D48">
        <v>14.32</v>
      </c>
      <c r="E48">
        <v>93.8</v>
      </c>
      <c r="F48">
        <v>1</v>
      </c>
      <c r="G48" t="s">
        <v>7</v>
      </c>
      <c r="H48">
        <v>15</v>
      </c>
      <c r="I48">
        <v>107852</v>
      </c>
      <c r="J48">
        <v>624</v>
      </c>
      <c r="K48" t="str" cm="1">
        <f t="array" ref="K48">_xlfn.IFS(J48&lt;600,"520-599",J48&lt;650,"600-649",J48&lt;700,"650-699",J48&lt;750,"700-749",TRUE,"750+")</f>
        <v>600-649</v>
      </c>
      <c r="L48" t="str" cm="1">
        <f t="array" ref="L48">_xlfn.IFS(E48&lt;20,"1. Under 20",E48&lt;30,"2. 20-29",E48&lt;40,"3. 30-39",E48&lt;50,"4. 40-49",E48&lt;60,"5. 50-59",E48&lt;70,"6. 60-69",E48&lt;80,"7. 70-79",TRUE,"8. 80+")</f>
        <v>8. 80+</v>
      </c>
      <c r="M48" t="str">
        <f t="shared" si="0"/>
        <v>2+ years</v>
      </c>
    </row>
    <row r="49" spans="1:13" x14ac:dyDescent="0.25">
      <c r="A49" t="s">
        <v>62</v>
      </c>
      <c r="B49" t="s">
        <v>15</v>
      </c>
      <c r="C49">
        <v>5900</v>
      </c>
      <c r="D49">
        <v>12.11</v>
      </c>
      <c r="E49">
        <v>29.4</v>
      </c>
      <c r="F49">
        <v>0</v>
      </c>
      <c r="G49" t="s">
        <v>29</v>
      </c>
      <c r="H49">
        <v>1</v>
      </c>
      <c r="I49">
        <v>29964</v>
      </c>
      <c r="J49">
        <v>735</v>
      </c>
      <c r="K49" t="str" cm="1">
        <f t="array" ref="K49">_xlfn.IFS(J49&lt;600,"520-599",J49&lt;650,"600-649",J49&lt;700,"650-699",J49&lt;750,"700-749",TRUE,"750+")</f>
        <v>700-749</v>
      </c>
      <c r="L49" t="str" cm="1">
        <f t="array" ref="L49">_xlfn.IFS(E49&lt;20,"1. Under 20",E49&lt;30,"2. 20-29",E49&lt;40,"3. 30-39",E49&lt;50,"4. 40-49",E49&lt;60,"5. 50-59",E49&lt;70,"6. 60-69",E49&lt;80,"7. 70-79",TRUE,"8. 80+")</f>
        <v>2. 20-29</v>
      </c>
      <c r="M49" t="str">
        <f t="shared" si="0"/>
        <v>Under 2 years</v>
      </c>
    </row>
    <row r="50" spans="1:13" x14ac:dyDescent="0.25">
      <c r="A50" t="s">
        <v>63</v>
      </c>
      <c r="B50" t="s">
        <v>9</v>
      </c>
      <c r="C50">
        <v>15100</v>
      </c>
      <c r="D50">
        <v>8.41</v>
      </c>
      <c r="E50">
        <v>36.5</v>
      </c>
      <c r="F50">
        <v>0</v>
      </c>
      <c r="G50" t="s">
        <v>29</v>
      </c>
      <c r="H50">
        <v>1</v>
      </c>
      <c r="I50">
        <v>29964</v>
      </c>
      <c r="J50">
        <v>735</v>
      </c>
      <c r="K50" t="str" cm="1">
        <f t="array" ref="K50">_xlfn.IFS(J50&lt;600,"520-599",J50&lt;650,"600-649",J50&lt;700,"650-699",J50&lt;750,"700-749",TRUE,"750+")</f>
        <v>700-749</v>
      </c>
      <c r="L50" t="str" cm="1">
        <f t="array" ref="L50">_xlfn.IFS(E50&lt;20,"1. Under 20",E50&lt;30,"2. 20-29",E50&lt;40,"3. 30-39",E50&lt;50,"4. 40-49",E50&lt;60,"5. 50-59",E50&lt;70,"6. 60-69",E50&lt;80,"7. 70-79",TRUE,"8. 80+")</f>
        <v>3. 30-39</v>
      </c>
      <c r="M50" t="str">
        <f t="shared" si="0"/>
        <v>Under 2 years</v>
      </c>
    </row>
    <row r="51" spans="1:13" x14ac:dyDescent="0.25">
      <c r="A51" t="s">
        <v>64</v>
      </c>
      <c r="B51" t="s">
        <v>6</v>
      </c>
      <c r="C51">
        <v>22600</v>
      </c>
      <c r="D51">
        <v>10.199999999999999</v>
      </c>
      <c r="E51">
        <v>26.2</v>
      </c>
      <c r="F51">
        <v>0</v>
      </c>
      <c r="G51" t="s">
        <v>7</v>
      </c>
      <c r="H51">
        <v>2</v>
      </c>
      <c r="I51">
        <v>124663</v>
      </c>
      <c r="J51">
        <v>785</v>
      </c>
      <c r="K51" t="str" cm="1">
        <f t="array" ref="K51">_xlfn.IFS(J51&lt;600,"520-599",J51&lt;650,"600-649",J51&lt;700,"650-699",J51&lt;750,"700-749",TRUE,"750+")</f>
        <v>750+</v>
      </c>
      <c r="L51" t="str" cm="1">
        <f t="array" ref="L51">_xlfn.IFS(E51&lt;20,"1. Under 20",E51&lt;30,"2. 20-29",E51&lt;40,"3. 30-39",E51&lt;50,"4. 40-49",E51&lt;60,"5. 50-59",E51&lt;70,"6. 60-69",E51&lt;80,"7. 70-79",TRUE,"8. 80+")</f>
        <v>2. 20-29</v>
      </c>
      <c r="M51" t="str">
        <f t="shared" si="0"/>
        <v>2+ years</v>
      </c>
    </row>
    <row r="52" spans="1:13" x14ac:dyDescent="0.25">
      <c r="A52" t="s">
        <v>65</v>
      </c>
      <c r="B52" t="s">
        <v>13</v>
      </c>
      <c r="C52">
        <v>9000</v>
      </c>
      <c r="D52">
        <v>12.63</v>
      </c>
      <c r="E52">
        <v>65.400000000000006</v>
      </c>
      <c r="F52">
        <v>0</v>
      </c>
      <c r="G52" t="s">
        <v>7</v>
      </c>
      <c r="H52">
        <v>22</v>
      </c>
      <c r="I52">
        <v>52825</v>
      </c>
      <c r="J52">
        <v>672</v>
      </c>
      <c r="K52" t="str" cm="1">
        <f t="array" ref="K52">_xlfn.IFS(J52&lt;600,"520-599",J52&lt;650,"600-649",J52&lt;700,"650-699",J52&lt;750,"700-749",TRUE,"750+")</f>
        <v>650-699</v>
      </c>
      <c r="L52" t="str" cm="1">
        <f t="array" ref="L52">_xlfn.IFS(E52&lt;20,"1. Under 20",E52&lt;30,"2. 20-29",E52&lt;40,"3. 30-39",E52&lt;50,"4. 40-49",E52&lt;60,"5. 50-59",E52&lt;70,"6. 60-69",E52&lt;80,"7. 70-79",TRUE,"8. 80+")</f>
        <v>6. 60-69</v>
      </c>
      <c r="M52" t="str">
        <f t="shared" si="0"/>
        <v>2+ years</v>
      </c>
    </row>
    <row r="53" spans="1:13" x14ac:dyDescent="0.25">
      <c r="A53" t="s">
        <v>66</v>
      </c>
      <c r="B53" t="s">
        <v>9</v>
      </c>
      <c r="C53">
        <v>11000</v>
      </c>
      <c r="D53">
        <v>10.24</v>
      </c>
      <c r="E53">
        <v>39.299999999999997</v>
      </c>
      <c r="F53">
        <v>0</v>
      </c>
      <c r="G53" t="s">
        <v>7</v>
      </c>
      <c r="H53">
        <v>18</v>
      </c>
      <c r="I53">
        <v>137860</v>
      </c>
      <c r="J53">
        <v>641</v>
      </c>
      <c r="K53" t="str" cm="1">
        <f t="array" ref="K53">_xlfn.IFS(J53&lt;600,"520-599",J53&lt;650,"600-649",J53&lt;700,"650-699",J53&lt;750,"700-749",TRUE,"750+")</f>
        <v>600-649</v>
      </c>
      <c r="L53" t="str" cm="1">
        <f t="array" ref="L53">_xlfn.IFS(E53&lt;20,"1. Under 20",E53&lt;30,"2. 20-29",E53&lt;40,"3. 30-39",E53&lt;50,"4. 40-49",E53&lt;60,"5. 50-59",E53&lt;70,"6. 60-69",E53&lt;80,"7. 70-79",TRUE,"8. 80+")</f>
        <v>3. 30-39</v>
      </c>
      <c r="M53" t="str">
        <f t="shared" si="0"/>
        <v>2+ years</v>
      </c>
    </row>
    <row r="54" spans="1:13" x14ac:dyDescent="0.25">
      <c r="A54" t="s">
        <v>67</v>
      </c>
      <c r="B54" t="s">
        <v>19</v>
      </c>
      <c r="C54">
        <v>19200</v>
      </c>
      <c r="D54">
        <v>9.99</v>
      </c>
      <c r="E54">
        <v>39.1</v>
      </c>
      <c r="F54">
        <v>0</v>
      </c>
      <c r="G54" t="s">
        <v>7</v>
      </c>
      <c r="H54">
        <v>18</v>
      </c>
      <c r="I54">
        <v>137860</v>
      </c>
      <c r="J54">
        <v>641</v>
      </c>
      <c r="K54" t="str" cm="1">
        <f t="array" ref="K54">_xlfn.IFS(J54&lt;600,"520-599",J54&lt;650,"600-649",J54&lt;700,"650-699",J54&lt;750,"700-749",TRUE,"750+")</f>
        <v>600-649</v>
      </c>
      <c r="L54" t="str" cm="1">
        <f t="array" ref="L54">_xlfn.IFS(E54&lt;20,"1. Under 20",E54&lt;30,"2. 20-29",E54&lt;40,"3. 30-39",E54&lt;50,"4. 40-49",E54&lt;60,"5. 50-59",E54&lt;70,"6. 60-69",E54&lt;80,"7. 70-79",TRUE,"8. 80+")</f>
        <v>3. 30-39</v>
      </c>
      <c r="M54" t="str">
        <f t="shared" si="0"/>
        <v>2+ years</v>
      </c>
    </row>
    <row r="55" spans="1:13" x14ac:dyDescent="0.25">
      <c r="A55" t="s">
        <v>68</v>
      </c>
      <c r="B55" t="s">
        <v>15</v>
      </c>
      <c r="C55">
        <v>12900</v>
      </c>
      <c r="D55">
        <v>10.39</v>
      </c>
      <c r="E55">
        <v>10.9</v>
      </c>
      <c r="F55">
        <v>0</v>
      </c>
      <c r="G55" t="s">
        <v>7</v>
      </c>
      <c r="H55">
        <v>3</v>
      </c>
      <c r="I55">
        <v>106612</v>
      </c>
      <c r="J55">
        <v>806</v>
      </c>
      <c r="K55" t="str" cm="1">
        <f t="array" ref="K55">_xlfn.IFS(J55&lt;600,"520-599",J55&lt;650,"600-649",J55&lt;700,"650-699",J55&lt;750,"700-749",TRUE,"750+")</f>
        <v>750+</v>
      </c>
      <c r="L55" t="str" cm="1">
        <f t="array" ref="L55">_xlfn.IFS(E55&lt;20,"1. Under 20",E55&lt;30,"2. 20-29",E55&lt;40,"3. 30-39",E55&lt;50,"4. 40-49",E55&lt;60,"5. 50-59",E55&lt;70,"6. 60-69",E55&lt;80,"7. 70-79",TRUE,"8. 80+")</f>
        <v>1. Under 20</v>
      </c>
      <c r="M55" t="str">
        <f t="shared" si="0"/>
        <v>2+ years</v>
      </c>
    </row>
    <row r="56" spans="1:13" x14ac:dyDescent="0.25">
      <c r="A56" t="s">
        <v>69</v>
      </c>
      <c r="B56" t="s">
        <v>19</v>
      </c>
      <c r="C56">
        <v>3900</v>
      </c>
      <c r="D56">
        <v>13.92</v>
      </c>
      <c r="E56">
        <v>41.3</v>
      </c>
      <c r="F56">
        <v>0</v>
      </c>
      <c r="G56" t="s">
        <v>29</v>
      </c>
      <c r="H56">
        <v>11</v>
      </c>
      <c r="I56">
        <v>24811</v>
      </c>
      <c r="J56">
        <v>625</v>
      </c>
      <c r="K56" t="str" cm="1">
        <f t="array" ref="K56">_xlfn.IFS(J56&lt;600,"520-599",J56&lt;650,"600-649",J56&lt;700,"650-699",J56&lt;750,"700-749",TRUE,"750+")</f>
        <v>600-649</v>
      </c>
      <c r="L56" t="str" cm="1">
        <f t="array" ref="L56">_xlfn.IFS(E56&lt;20,"1. Under 20",E56&lt;30,"2. 20-29",E56&lt;40,"3. 30-39",E56&lt;50,"4. 40-49",E56&lt;60,"5. 50-59",E56&lt;70,"6. 60-69",E56&lt;80,"7. 70-79",TRUE,"8. 80+")</f>
        <v>4. 40-49</v>
      </c>
      <c r="M56" t="str">
        <f t="shared" si="0"/>
        <v>2+ years</v>
      </c>
    </row>
    <row r="57" spans="1:13" x14ac:dyDescent="0.25">
      <c r="A57" t="s">
        <v>70</v>
      </c>
      <c r="B57" t="s">
        <v>21</v>
      </c>
      <c r="C57">
        <v>41600</v>
      </c>
      <c r="D57">
        <v>10.34</v>
      </c>
      <c r="E57">
        <v>31.5</v>
      </c>
      <c r="F57">
        <v>0</v>
      </c>
      <c r="G57" t="s">
        <v>2</v>
      </c>
      <c r="H57">
        <v>26</v>
      </c>
      <c r="I57">
        <v>80367</v>
      </c>
      <c r="J57">
        <v>698</v>
      </c>
      <c r="K57" t="str" cm="1">
        <f t="array" ref="K57">_xlfn.IFS(J57&lt;600,"520-599",J57&lt;650,"600-649",J57&lt;700,"650-699",J57&lt;750,"700-749",TRUE,"750+")</f>
        <v>650-699</v>
      </c>
      <c r="L57" t="str" cm="1">
        <f t="array" ref="L57">_xlfn.IFS(E57&lt;20,"1. Under 20",E57&lt;30,"2. 20-29",E57&lt;40,"3. 30-39",E57&lt;50,"4. 40-49",E57&lt;60,"5. 50-59",E57&lt;70,"6. 60-69",E57&lt;80,"7. 70-79",TRUE,"8. 80+")</f>
        <v>3. 30-39</v>
      </c>
      <c r="M57" t="str">
        <f t="shared" si="0"/>
        <v>2+ years</v>
      </c>
    </row>
    <row r="58" spans="1:13" x14ac:dyDescent="0.25">
      <c r="A58" t="s">
        <v>71</v>
      </c>
      <c r="B58" t="s">
        <v>1</v>
      </c>
      <c r="C58">
        <v>4000</v>
      </c>
      <c r="D58">
        <v>12.11</v>
      </c>
      <c r="E58">
        <v>7.6</v>
      </c>
      <c r="F58">
        <v>0</v>
      </c>
      <c r="G58" t="s">
        <v>7</v>
      </c>
      <c r="H58">
        <v>19</v>
      </c>
      <c r="I58">
        <v>88330</v>
      </c>
      <c r="J58">
        <v>629</v>
      </c>
      <c r="K58" t="str" cm="1">
        <f t="array" ref="K58">_xlfn.IFS(J58&lt;600,"520-599",J58&lt;650,"600-649",J58&lt;700,"650-699",J58&lt;750,"700-749",TRUE,"750+")</f>
        <v>600-649</v>
      </c>
      <c r="L58" t="str" cm="1">
        <f t="array" ref="L58">_xlfn.IFS(E58&lt;20,"1. Under 20",E58&lt;30,"2. 20-29",E58&lt;40,"3. 30-39",E58&lt;50,"4. 40-49",E58&lt;60,"5. 50-59",E58&lt;70,"6. 60-69",E58&lt;80,"7. 70-79",TRUE,"8. 80+")</f>
        <v>1. Under 20</v>
      </c>
      <c r="M58" t="str">
        <f t="shared" si="0"/>
        <v>2+ years</v>
      </c>
    </row>
    <row r="59" spans="1:13" x14ac:dyDescent="0.25">
      <c r="A59" t="s">
        <v>72</v>
      </c>
      <c r="B59" t="s">
        <v>21</v>
      </c>
      <c r="C59">
        <v>14400</v>
      </c>
      <c r="D59">
        <v>12.3</v>
      </c>
      <c r="E59">
        <v>38.700000000000003</v>
      </c>
      <c r="F59">
        <v>0</v>
      </c>
      <c r="G59" t="s">
        <v>2</v>
      </c>
      <c r="H59">
        <v>14</v>
      </c>
      <c r="I59">
        <v>57427</v>
      </c>
      <c r="J59">
        <v>694</v>
      </c>
      <c r="K59" t="str" cm="1">
        <f t="array" ref="K59">_xlfn.IFS(J59&lt;600,"520-599",J59&lt;650,"600-649",J59&lt;700,"650-699",J59&lt;750,"700-749",TRUE,"750+")</f>
        <v>650-699</v>
      </c>
      <c r="L59" t="str" cm="1">
        <f t="array" ref="L59">_xlfn.IFS(E59&lt;20,"1. Under 20",E59&lt;30,"2. 20-29",E59&lt;40,"3. 30-39",E59&lt;50,"4. 40-49",E59&lt;60,"5. 50-59",E59&lt;70,"6. 60-69",E59&lt;80,"7. 70-79",TRUE,"8. 80+")</f>
        <v>3. 30-39</v>
      </c>
      <c r="M59" t="str">
        <f t="shared" si="0"/>
        <v>2+ years</v>
      </c>
    </row>
    <row r="60" spans="1:13" x14ac:dyDescent="0.25">
      <c r="A60" t="s">
        <v>73</v>
      </c>
      <c r="B60" t="s">
        <v>6</v>
      </c>
      <c r="C60">
        <v>24300</v>
      </c>
      <c r="D60">
        <v>6.29</v>
      </c>
      <c r="E60">
        <v>28.8</v>
      </c>
      <c r="F60">
        <v>0</v>
      </c>
      <c r="G60" t="s">
        <v>7</v>
      </c>
      <c r="H60">
        <v>5</v>
      </c>
      <c r="I60">
        <v>82953</v>
      </c>
      <c r="J60">
        <v>850</v>
      </c>
      <c r="K60" t="str" cm="1">
        <f t="array" ref="K60">_xlfn.IFS(J60&lt;600,"520-599",J60&lt;650,"600-649",J60&lt;700,"650-699",J60&lt;750,"700-749",TRUE,"750+")</f>
        <v>750+</v>
      </c>
      <c r="L60" t="str" cm="1">
        <f t="array" ref="L60">_xlfn.IFS(E60&lt;20,"1. Under 20",E60&lt;30,"2. 20-29",E60&lt;40,"3. 30-39",E60&lt;50,"4. 40-49",E60&lt;60,"5. 50-59",E60&lt;70,"6. 60-69",E60&lt;80,"7. 70-79",TRUE,"8. 80+")</f>
        <v>2. 20-29</v>
      </c>
      <c r="M60" t="str">
        <f t="shared" si="0"/>
        <v>2+ years</v>
      </c>
    </row>
    <row r="61" spans="1:13" x14ac:dyDescent="0.25">
      <c r="A61" t="s">
        <v>74</v>
      </c>
      <c r="B61" t="s">
        <v>15</v>
      </c>
      <c r="C61">
        <v>15600</v>
      </c>
      <c r="D61">
        <v>6.86</v>
      </c>
      <c r="E61">
        <v>64.900000000000006</v>
      </c>
      <c r="F61">
        <v>0</v>
      </c>
      <c r="G61" t="s">
        <v>7</v>
      </c>
      <c r="H61">
        <v>13</v>
      </c>
      <c r="I61">
        <v>57034</v>
      </c>
      <c r="J61">
        <v>842</v>
      </c>
      <c r="K61" t="str" cm="1">
        <f t="array" ref="K61">_xlfn.IFS(J61&lt;600,"520-599",J61&lt;650,"600-649",J61&lt;700,"650-699",J61&lt;750,"700-749",TRUE,"750+")</f>
        <v>750+</v>
      </c>
      <c r="L61" t="str" cm="1">
        <f t="array" ref="L61">_xlfn.IFS(E61&lt;20,"1. Under 20",E61&lt;30,"2. 20-29",E61&lt;40,"3. 30-39",E61&lt;50,"4. 40-49",E61&lt;60,"5. 50-59",E61&lt;70,"6. 60-69",E61&lt;80,"7. 70-79",TRUE,"8. 80+")</f>
        <v>6. 60-69</v>
      </c>
      <c r="M61" t="str">
        <f t="shared" si="0"/>
        <v>2+ years</v>
      </c>
    </row>
    <row r="62" spans="1:13" x14ac:dyDescent="0.25">
      <c r="A62" t="s">
        <v>75</v>
      </c>
      <c r="B62" t="s">
        <v>15</v>
      </c>
      <c r="C62">
        <v>7900</v>
      </c>
      <c r="D62">
        <v>13.28</v>
      </c>
      <c r="E62">
        <v>53</v>
      </c>
      <c r="F62">
        <v>1</v>
      </c>
      <c r="G62" t="s">
        <v>7</v>
      </c>
      <c r="H62">
        <v>10</v>
      </c>
      <c r="I62">
        <v>88890</v>
      </c>
      <c r="J62">
        <v>615</v>
      </c>
      <c r="K62" t="str" cm="1">
        <f t="array" ref="K62">_xlfn.IFS(J62&lt;600,"520-599",J62&lt;650,"600-649",J62&lt;700,"650-699",J62&lt;750,"700-749",TRUE,"750+")</f>
        <v>600-649</v>
      </c>
      <c r="L62" t="str" cm="1">
        <f t="array" ref="L62">_xlfn.IFS(E62&lt;20,"1. Under 20",E62&lt;30,"2. 20-29",E62&lt;40,"3. 30-39",E62&lt;50,"4. 40-49",E62&lt;60,"5. 50-59",E62&lt;70,"6. 60-69",E62&lt;80,"7. 70-79",TRUE,"8. 80+")</f>
        <v>5. 50-59</v>
      </c>
      <c r="M62" t="str">
        <f t="shared" si="0"/>
        <v>2+ years</v>
      </c>
    </row>
    <row r="63" spans="1:13" x14ac:dyDescent="0.25">
      <c r="A63" t="s">
        <v>76</v>
      </c>
      <c r="B63" t="s">
        <v>6</v>
      </c>
      <c r="C63">
        <v>9700</v>
      </c>
      <c r="D63">
        <v>8.32</v>
      </c>
      <c r="E63">
        <v>13</v>
      </c>
      <c r="F63">
        <v>0</v>
      </c>
      <c r="G63" t="s">
        <v>7</v>
      </c>
      <c r="H63">
        <v>7</v>
      </c>
      <c r="I63">
        <v>123592</v>
      </c>
      <c r="J63">
        <v>815</v>
      </c>
      <c r="K63" t="str" cm="1">
        <f t="array" ref="K63">_xlfn.IFS(J63&lt;600,"520-599",J63&lt;650,"600-649",J63&lt;700,"650-699",J63&lt;750,"700-749",TRUE,"750+")</f>
        <v>750+</v>
      </c>
      <c r="L63" t="str" cm="1">
        <f t="array" ref="L63">_xlfn.IFS(E63&lt;20,"1. Under 20",E63&lt;30,"2. 20-29",E63&lt;40,"3. 30-39",E63&lt;50,"4. 40-49",E63&lt;60,"5. 50-59",E63&lt;70,"6. 60-69",E63&lt;80,"7. 70-79",TRUE,"8. 80+")</f>
        <v>1. Under 20</v>
      </c>
      <c r="M63" t="str">
        <f t="shared" si="0"/>
        <v>2+ years</v>
      </c>
    </row>
    <row r="64" spans="1:13" x14ac:dyDescent="0.25">
      <c r="A64" t="s">
        <v>77</v>
      </c>
      <c r="B64" t="s">
        <v>15</v>
      </c>
      <c r="C64">
        <v>36200</v>
      </c>
      <c r="D64">
        <v>7.37</v>
      </c>
      <c r="E64">
        <v>53.3</v>
      </c>
      <c r="F64">
        <v>0</v>
      </c>
      <c r="G64" t="s">
        <v>2</v>
      </c>
      <c r="H64">
        <v>5</v>
      </c>
      <c r="I64">
        <v>139361</v>
      </c>
      <c r="J64">
        <v>850</v>
      </c>
      <c r="K64" t="str" cm="1">
        <f t="array" ref="K64">_xlfn.IFS(J64&lt;600,"520-599",J64&lt;650,"600-649",J64&lt;700,"650-699",J64&lt;750,"700-749",TRUE,"750+")</f>
        <v>750+</v>
      </c>
      <c r="L64" t="str" cm="1">
        <f t="array" ref="L64">_xlfn.IFS(E64&lt;20,"1. Under 20",E64&lt;30,"2. 20-29",E64&lt;40,"3. 30-39",E64&lt;50,"4. 40-49",E64&lt;60,"5. 50-59",E64&lt;70,"6. 60-69",E64&lt;80,"7. 70-79",TRUE,"8. 80+")</f>
        <v>5. 50-59</v>
      </c>
      <c r="M64" t="str">
        <f t="shared" si="0"/>
        <v>2+ years</v>
      </c>
    </row>
    <row r="65" spans="1:13" x14ac:dyDescent="0.25">
      <c r="A65" t="s">
        <v>78</v>
      </c>
      <c r="B65" t="s">
        <v>21</v>
      </c>
      <c r="C65">
        <v>14100</v>
      </c>
      <c r="D65">
        <v>12.22</v>
      </c>
      <c r="E65">
        <v>43.4</v>
      </c>
      <c r="F65">
        <v>0</v>
      </c>
      <c r="G65" t="s">
        <v>10</v>
      </c>
      <c r="H65">
        <v>30</v>
      </c>
      <c r="I65">
        <v>69049</v>
      </c>
      <c r="J65">
        <v>616</v>
      </c>
      <c r="K65" t="str" cm="1">
        <f t="array" ref="K65">_xlfn.IFS(J65&lt;600,"520-599",J65&lt;650,"600-649",J65&lt;700,"650-699",J65&lt;750,"700-749",TRUE,"750+")</f>
        <v>600-649</v>
      </c>
      <c r="L65" t="str" cm="1">
        <f t="array" ref="L65">_xlfn.IFS(E65&lt;20,"1. Under 20",E65&lt;30,"2. 20-29",E65&lt;40,"3. 30-39",E65&lt;50,"4. 40-49",E65&lt;60,"5. 50-59",E65&lt;70,"6. 60-69",E65&lt;80,"7. 70-79",TRUE,"8. 80+")</f>
        <v>4. 40-49</v>
      </c>
      <c r="M65" t="str">
        <f t="shared" si="0"/>
        <v>2+ years</v>
      </c>
    </row>
    <row r="66" spans="1:13" x14ac:dyDescent="0.25">
      <c r="A66" t="s">
        <v>79</v>
      </c>
      <c r="B66" t="s">
        <v>19</v>
      </c>
      <c r="C66">
        <v>26200</v>
      </c>
      <c r="D66">
        <v>11.78</v>
      </c>
      <c r="E66">
        <v>48.8</v>
      </c>
      <c r="F66">
        <v>0</v>
      </c>
      <c r="G66" t="s">
        <v>10</v>
      </c>
      <c r="H66">
        <v>30</v>
      </c>
      <c r="I66">
        <v>69049</v>
      </c>
      <c r="J66">
        <v>616</v>
      </c>
      <c r="K66" t="str" cm="1">
        <f t="array" ref="K66">_xlfn.IFS(J66&lt;600,"520-599",J66&lt;650,"600-649",J66&lt;700,"650-699",J66&lt;750,"700-749",TRUE,"750+")</f>
        <v>600-649</v>
      </c>
      <c r="L66" t="str" cm="1">
        <f t="array" ref="L66">_xlfn.IFS(E66&lt;20,"1. Under 20",E66&lt;30,"2. 20-29",E66&lt;40,"3. 30-39",E66&lt;50,"4. 40-49",E66&lt;60,"5. 50-59",E66&lt;70,"6. 60-69",E66&lt;80,"7. 70-79",TRUE,"8. 80+")</f>
        <v>4. 40-49</v>
      </c>
      <c r="M66" t="str">
        <f t="shared" si="0"/>
        <v>2+ years</v>
      </c>
    </row>
    <row r="67" spans="1:13" x14ac:dyDescent="0.25">
      <c r="A67" t="s">
        <v>80</v>
      </c>
      <c r="B67" t="s">
        <v>6</v>
      </c>
      <c r="C67">
        <v>12000</v>
      </c>
      <c r="D67">
        <v>9.39</v>
      </c>
      <c r="E67">
        <v>18.600000000000001</v>
      </c>
      <c r="F67">
        <v>1</v>
      </c>
      <c r="G67" t="s">
        <v>7</v>
      </c>
      <c r="H67">
        <v>15</v>
      </c>
      <c r="I67">
        <v>68663</v>
      </c>
      <c r="J67">
        <v>681</v>
      </c>
      <c r="K67" t="str" cm="1">
        <f t="array" ref="K67">_xlfn.IFS(J67&lt;600,"520-599",J67&lt;650,"600-649",J67&lt;700,"650-699",J67&lt;750,"700-749",TRUE,"750+")</f>
        <v>650-699</v>
      </c>
      <c r="L67" t="str" cm="1">
        <f t="array" ref="L67">_xlfn.IFS(E67&lt;20,"1. Under 20",E67&lt;30,"2. 20-29",E67&lt;40,"3. 30-39",E67&lt;50,"4. 40-49",E67&lt;60,"5. 50-59",E67&lt;70,"6. 60-69",E67&lt;80,"7. 70-79",TRUE,"8. 80+")</f>
        <v>1. Under 20</v>
      </c>
      <c r="M67" t="str">
        <f t="shared" ref="M67:M130" si="1">IF(H67&lt;2,"Under 2 years","2+ years")</f>
        <v>2+ years</v>
      </c>
    </row>
    <row r="68" spans="1:13" x14ac:dyDescent="0.25">
      <c r="A68" t="s">
        <v>81</v>
      </c>
      <c r="B68" t="s">
        <v>26</v>
      </c>
      <c r="C68">
        <v>37700</v>
      </c>
      <c r="D68">
        <v>11.09</v>
      </c>
      <c r="E68">
        <v>72.599999999999994</v>
      </c>
      <c r="F68">
        <v>1</v>
      </c>
      <c r="G68" t="s">
        <v>2</v>
      </c>
      <c r="H68">
        <v>6</v>
      </c>
      <c r="I68">
        <v>62036</v>
      </c>
      <c r="J68">
        <v>567</v>
      </c>
      <c r="K68" t="str" cm="1">
        <f t="array" ref="K68">_xlfn.IFS(J68&lt;600,"520-599",J68&lt;650,"600-649",J68&lt;700,"650-699",J68&lt;750,"700-749",TRUE,"750+")</f>
        <v>520-599</v>
      </c>
      <c r="L68" t="str" cm="1">
        <f t="array" ref="L68">_xlfn.IFS(E68&lt;20,"1. Under 20",E68&lt;30,"2. 20-29",E68&lt;40,"3. 30-39",E68&lt;50,"4. 40-49",E68&lt;60,"5. 50-59",E68&lt;70,"6. 60-69",E68&lt;80,"7. 70-79",TRUE,"8. 80+")</f>
        <v>7. 70-79</v>
      </c>
      <c r="M68" t="str">
        <f t="shared" si="1"/>
        <v>2+ years</v>
      </c>
    </row>
    <row r="69" spans="1:13" x14ac:dyDescent="0.25">
      <c r="A69" t="s">
        <v>82</v>
      </c>
      <c r="B69" t="s">
        <v>26</v>
      </c>
      <c r="C69">
        <v>29000</v>
      </c>
      <c r="D69">
        <v>14.5</v>
      </c>
      <c r="E69">
        <v>14.8</v>
      </c>
      <c r="F69">
        <v>0</v>
      </c>
      <c r="G69" t="s">
        <v>2</v>
      </c>
      <c r="H69">
        <v>27</v>
      </c>
      <c r="I69">
        <v>100958</v>
      </c>
      <c r="J69">
        <v>555</v>
      </c>
      <c r="K69" t="str" cm="1">
        <f t="array" ref="K69">_xlfn.IFS(J69&lt;600,"520-599",J69&lt;650,"600-649",J69&lt;700,"650-699",J69&lt;750,"700-749",TRUE,"750+")</f>
        <v>520-599</v>
      </c>
      <c r="L69" t="str" cm="1">
        <f t="array" ref="L69">_xlfn.IFS(E69&lt;20,"1. Under 20",E69&lt;30,"2. 20-29",E69&lt;40,"3. 30-39",E69&lt;50,"4. 40-49",E69&lt;60,"5. 50-59",E69&lt;70,"6. 60-69",E69&lt;80,"7. 70-79",TRUE,"8. 80+")</f>
        <v>1. Under 20</v>
      </c>
      <c r="M69" t="str">
        <f t="shared" si="1"/>
        <v>2+ years</v>
      </c>
    </row>
    <row r="70" spans="1:13" x14ac:dyDescent="0.25">
      <c r="A70" t="s">
        <v>83</v>
      </c>
      <c r="B70" t="s">
        <v>4</v>
      </c>
      <c r="C70">
        <v>38400</v>
      </c>
      <c r="D70">
        <v>7.84</v>
      </c>
      <c r="E70">
        <v>63.1</v>
      </c>
      <c r="F70">
        <v>1</v>
      </c>
      <c r="G70" t="s">
        <v>7</v>
      </c>
      <c r="H70">
        <v>17</v>
      </c>
      <c r="I70">
        <v>70593</v>
      </c>
      <c r="J70">
        <v>749</v>
      </c>
      <c r="K70" t="str" cm="1">
        <f t="array" ref="K70">_xlfn.IFS(J70&lt;600,"520-599",J70&lt;650,"600-649",J70&lt;700,"650-699",J70&lt;750,"700-749",TRUE,"750+")</f>
        <v>700-749</v>
      </c>
      <c r="L70" t="str" cm="1">
        <f t="array" ref="L70">_xlfn.IFS(E70&lt;20,"1. Under 20",E70&lt;30,"2. 20-29",E70&lt;40,"3. 30-39",E70&lt;50,"4. 40-49",E70&lt;60,"5. 50-59",E70&lt;70,"6. 60-69",E70&lt;80,"7. 70-79",TRUE,"8. 80+")</f>
        <v>6. 60-69</v>
      </c>
      <c r="M70" t="str">
        <f t="shared" si="1"/>
        <v>2+ years</v>
      </c>
    </row>
    <row r="71" spans="1:13" x14ac:dyDescent="0.25">
      <c r="A71" t="s">
        <v>84</v>
      </c>
      <c r="B71" t="s">
        <v>4</v>
      </c>
      <c r="C71">
        <v>20500</v>
      </c>
      <c r="D71">
        <v>8.67</v>
      </c>
      <c r="E71">
        <v>27.8</v>
      </c>
      <c r="F71">
        <v>0</v>
      </c>
      <c r="G71" t="s">
        <v>7</v>
      </c>
      <c r="H71">
        <v>25</v>
      </c>
      <c r="I71">
        <v>30740</v>
      </c>
      <c r="J71">
        <v>697</v>
      </c>
      <c r="K71" t="str" cm="1">
        <f t="array" ref="K71">_xlfn.IFS(J71&lt;600,"520-599",J71&lt;650,"600-649",J71&lt;700,"650-699",J71&lt;750,"700-749",TRUE,"750+")</f>
        <v>650-699</v>
      </c>
      <c r="L71" t="str" cm="1">
        <f t="array" ref="L71">_xlfn.IFS(E71&lt;20,"1. Under 20",E71&lt;30,"2. 20-29",E71&lt;40,"3. 30-39",E71&lt;50,"4. 40-49",E71&lt;60,"5. 50-59",E71&lt;70,"6. 60-69",E71&lt;80,"7. 70-79",TRUE,"8. 80+")</f>
        <v>2. 20-29</v>
      </c>
      <c r="M71" t="str">
        <f t="shared" si="1"/>
        <v>2+ years</v>
      </c>
    </row>
    <row r="72" spans="1:13" x14ac:dyDescent="0.25">
      <c r="A72" t="s">
        <v>85</v>
      </c>
      <c r="B72" t="s">
        <v>9</v>
      </c>
      <c r="C72">
        <v>42700</v>
      </c>
      <c r="D72">
        <v>13.49</v>
      </c>
      <c r="E72">
        <v>36.299999999999997</v>
      </c>
      <c r="F72">
        <v>0</v>
      </c>
      <c r="G72" t="s">
        <v>10</v>
      </c>
      <c r="H72">
        <v>5</v>
      </c>
      <c r="I72">
        <v>78362</v>
      </c>
      <c r="J72">
        <v>548</v>
      </c>
      <c r="K72" t="str" cm="1">
        <f t="array" ref="K72">_xlfn.IFS(J72&lt;600,"520-599",J72&lt;650,"600-649",J72&lt;700,"650-699",J72&lt;750,"700-749",TRUE,"750+")</f>
        <v>520-599</v>
      </c>
      <c r="L72" t="str" cm="1">
        <f t="array" ref="L72">_xlfn.IFS(E72&lt;20,"1. Under 20",E72&lt;30,"2. 20-29",E72&lt;40,"3. 30-39",E72&lt;50,"4. 40-49",E72&lt;60,"5. 50-59",E72&lt;70,"6. 60-69",E72&lt;80,"7. 70-79",TRUE,"8. 80+")</f>
        <v>3. 30-39</v>
      </c>
      <c r="M72" t="str">
        <f t="shared" si="1"/>
        <v>2+ years</v>
      </c>
    </row>
    <row r="73" spans="1:13" x14ac:dyDescent="0.25">
      <c r="A73" t="s">
        <v>86</v>
      </c>
      <c r="B73" t="s">
        <v>1</v>
      </c>
      <c r="C73">
        <v>10600</v>
      </c>
      <c r="D73">
        <v>12.03</v>
      </c>
      <c r="E73">
        <v>17.7</v>
      </c>
      <c r="F73">
        <v>0</v>
      </c>
      <c r="G73" t="s">
        <v>10</v>
      </c>
      <c r="H73">
        <v>5</v>
      </c>
      <c r="I73">
        <v>78362</v>
      </c>
      <c r="J73">
        <v>548</v>
      </c>
      <c r="K73" t="str" cm="1">
        <f t="array" ref="K73">_xlfn.IFS(J73&lt;600,"520-599",J73&lt;650,"600-649",J73&lt;700,"650-699",J73&lt;750,"700-749",TRUE,"750+")</f>
        <v>520-599</v>
      </c>
      <c r="L73" t="str" cm="1">
        <f t="array" ref="L73">_xlfn.IFS(E73&lt;20,"1. Under 20",E73&lt;30,"2. 20-29",E73&lt;40,"3. 30-39",E73&lt;50,"4. 40-49",E73&lt;60,"5. 50-59",E73&lt;70,"6. 60-69",E73&lt;80,"7. 70-79",TRUE,"8. 80+")</f>
        <v>1. Under 20</v>
      </c>
      <c r="M73" t="str">
        <f t="shared" si="1"/>
        <v>2+ years</v>
      </c>
    </row>
    <row r="74" spans="1:13" x14ac:dyDescent="0.25">
      <c r="A74" t="s">
        <v>87</v>
      </c>
      <c r="B74" t="s">
        <v>17</v>
      </c>
      <c r="C74">
        <v>12000</v>
      </c>
      <c r="D74">
        <v>12.84</v>
      </c>
      <c r="E74">
        <v>52</v>
      </c>
      <c r="F74">
        <v>1</v>
      </c>
      <c r="G74" t="s">
        <v>7</v>
      </c>
      <c r="H74">
        <v>8</v>
      </c>
      <c r="I74">
        <v>61452</v>
      </c>
      <c r="J74">
        <v>729</v>
      </c>
      <c r="K74" t="str" cm="1">
        <f t="array" ref="K74">_xlfn.IFS(J74&lt;600,"520-599",J74&lt;650,"600-649",J74&lt;700,"650-699",J74&lt;750,"700-749",TRUE,"750+")</f>
        <v>700-749</v>
      </c>
      <c r="L74" t="str" cm="1">
        <f t="array" ref="L74">_xlfn.IFS(E74&lt;20,"1. Under 20",E74&lt;30,"2. 20-29",E74&lt;40,"3. 30-39",E74&lt;50,"4. 40-49",E74&lt;60,"5. 50-59",E74&lt;70,"6. 60-69",E74&lt;80,"7. 70-79",TRUE,"8. 80+")</f>
        <v>5. 50-59</v>
      </c>
      <c r="M74" t="str">
        <f t="shared" si="1"/>
        <v>2+ years</v>
      </c>
    </row>
    <row r="75" spans="1:13" x14ac:dyDescent="0.25">
      <c r="A75" t="s">
        <v>88</v>
      </c>
      <c r="B75" t="s">
        <v>19</v>
      </c>
      <c r="C75">
        <v>5200</v>
      </c>
      <c r="D75">
        <v>9.4600000000000009</v>
      </c>
      <c r="E75">
        <v>10.5</v>
      </c>
      <c r="F75">
        <v>0</v>
      </c>
      <c r="G75" t="s">
        <v>7</v>
      </c>
      <c r="H75">
        <v>14</v>
      </c>
      <c r="I75">
        <v>57596</v>
      </c>
      <c r="J75">
        <v>709</v>
      </c>
      <c r="K75" t="str" cm="1">
        <f t="array" ref="K75">_xlfn.IFS(J75&lt;600,"520-599",J75&lt;650,"600-649",J75&lt;700,"650-699",J75&lt;750,"700-749",TRUE,"750+")</f>
        <v>700-749</v>
      </c>
      <c r="L75" t="str" cm="1">
        <f t="array" ref="L75">_xlfn.IFS(E75&lt;20,"1. Under 20",E75&lt;30,"2. 20-29",E75&lt;40,"3. 30-39",E75&lt;50,"4. 40-49",E75&lt;60,"5. 50-59",E75&lt;70,"6. 60-69",E75&lt;80,"7. 70-79",TRUE,"8. 80+")</f>
        <v>1. Under 20</v>
      </c>
      <c r="M75" t="str">
        <f t="shared" si="1"/>
        <v>2+ years</v>
      </c>
    </row>
    <row r="76" spans="1:13" x14ac:dyDescent="0.25">
      <c r="A76" t="s">
        <v>89</v>
      </c>
      <c r="B76" t="s">
        <v>13</v>
      </c>
      <c r="C76">
        <v>29500</v>
      </c>
      <c r="D76">
        <v>14.67</v>
      </c>
      <c r="E76">
        <v>67.2</v>
      </c>
      <c r="F76">
        <v>1</v>
      </c>
      <c r="G76" t="s">
        <v>7</v>
      </c>
      <c r="H76">
        <v>1</v>
      </c>
      <c r="I76">
        <v>56348</v>
      </c>
      <c r="J76">
        <v>608</v>
      </c>
      <c r="K76" t="str" cm="1">
        <f t="array" ref="K76">_xlfn.IFS(J76&lt;600,"520-599",J76&lt;650,"600-649",J76&lt;700,"650-699",J76&lt;750,"700-749",TRUE,"750+")</f>
        <v>600-649</v>
      </c>
      <c r="L76" t="str" cm="1">
        <f t="array" ref="L76">_xlfn.IFS(E76&lt;20,"1. Under 20",E76&lt;30,"2. 20-29",E76&lt;40,"3. 30-39",E76&lt;50,"4. 40-49",E76&lt;60,"5. 50-59",E76&lt;70,"6. 60-69",E76&lt;80,"7. 70-79",TRUE,"8. 80+")</f>
        <v>6. 60-69</v>
      </c>
      <c r="M76" t="str">
        <f t="shared" si="1"/>
        <v>Under 2 years</v>
      </c>
    </row>
    <row r="77" spans="1:13" x14ac:dyDescent="0.25">
      <c r="A77" t="s">
        <v>90</v>
      </c>
      <c r="B77" t="s">
        <v>1</v>
      </c>
      <c r="C77">
        <v>40300</v>
      </c>
      <c r="D77">
        <v>8.41</v>
      </c>
      <c r="E77">
        <v>53.2</v>
      </c>
      <c r="F77">
        <v>0</v>
      </c>
      <c r="G77" t="s">
        <v>2</v>
      </c>
      <c r="H77">
        <v>7</v>
      </c>
      <c r="I77">
        <v>51304</v>
      </c>
      <c r="J77">
        <v>840</v>
      </c>
      <c r="K77" t="str" cm="1">
        <f t="array" ref="K77">_xlfn.IFS(J77&lt;600,"520-599",J77&lt;650,"600-649",J77&lt;700,"650-699",J77&lt;750,"700-749",TRUE,"750+")</f>
        <v>750+</v>
      </c>
      <c r="L77" t="str" cm="1">
        <f t="array" ref="L77">_xlfn.IFS(E77&lt;20,"1. Under 20",E77&lt;30,"2. 20-29",E77&lt;40,"3. 30-39",E77&lt;50,"4. 40-49",E77&lt;60,"5. 50-59",E77&lt;70,"6. 60-69",E77&lt;80,"7. 70-79",TRUE,"8. 80+")</f>
        <v>5. 50-59</v>
      </c>
      <c r="M77" t="str">
        <f t="shared" si="1"/>
        <v>2+ years</v>
      </c>
    </row>
    <row r="78" spans="1:13" x14ac:dyDescent="0.25">
      <c r="A78" t="s">
        <v>91</v>
      </c>
      <c r="B78" t="s">
        <v>4</v>
      </c>
      <c r="C78">
        <v>4700</v>
      </c>
      <c r="D78">
        <v>7.5</v>
      </c>
      <c r="E78">
        <v>12.6</v>
      </c>
      <c r="F78">
        <v>0</v>
      </c>
      <c r="G78" t="s">
        <v>2</v>
      </c>
      <c r="H78">
        <v>7</v>
      </c>
      <c r="I78">
        <v>51304</v>
      </c>
      <c r="J78">
        <v>840</v>
      </c>
      <c r="K78" t="str" cm="1">
        <f t="array" ref="K78">_xlfn.IFS(J78&lt;600,"520-599",J78&lt;650,"600-649",J78&lt;700,"650-699",J78&lt;750,"700-749",TRUE,"750+")</f>
        <v>750+</v>
      </c>
      <c r="L78" t="str" cm="1">
        <f t="array" ref="L78">_xlfn.IFS(E78&lt;20,"1. Under 20",E78&lt;30,"2. 20-29",E78&lt;40,"3. 30-39",E78&lt;50,"4. 40-49",E78&lt;60,"5. 50-59",E78&lt;70,"6. 60-69",E78&lt;80,"7. 70-79",TRUE,"8. 80+")</f>
        <v>1. Under 20</v>
      </c>
      <c r="M78" t="str">
        <f t="shared" si="1"/>
        <v>2+ years</v>
      </c>
    </row>
    <row r="79" spans="1:13" x14ac:dyDescent="0.25">
      <c r="A79" t="s">
        <v>92</v>
      </c>
      <c r="B79" t="s">
        <v>13</v>
      </c>
      <c r="C79">
        <v>5800</v>
      </c>
      <c r="D79">
        <v>9.58</v>
      </c>
      <c r="E79">
        <v>47.9</v>
      </c>
      <c r="F79">
        <v>0</v>
      </c>
      <c r="G79" t="s">
        <v>23</v>
      </c>
      <c r="H79">
        <v>3</v>
      </c>
      <c r="I79">
        <v>72879</v>
      </c>
      <c r="J79">
        <v>727</v>
      </c>
      <c r="K79" t="str" cm="1">
        <f t="array" ref="K79">_xlfn.IFS(J79&lt;600,"520-599",J79&lt;650,"600-649",J79&lt;700,"650-699",J79&lt;750,"700-749",TRUE,"750+")</f>
        <v>700-749</v>
      </c>
      <c r="L79" t="str" cm="1">
        <f t="array" ref="L79">_xlfn.IFS(E79&lt;20,"1. Under 20",E79&lt;30,"2. 20-29",E79&lt;40,"3. 30-39",E79&lt;50,"4. 40-49",E79&lt;60,"5. 50-59",E79&lt;70,"6. 60-69",E79&lt;80,"7. 70-79",TRUE,"8. 80+")</f>
        <v>4. 40-49</v>
      </c>
      <c r="M79" t="str">
        <f t="shared" si="1"/>
        <v>2+ years</v>
      </c>
    </row>
    <row r="80" spans="1:13" x14ac:dyDescent="0.25">
      <c r="A80" t="s">
        <v>93</v>
      </c>
      <c r="B80" t="s">
        <v>26</v>
      </c>
      <c r="C80">
        <v>15400</v>
      </c>
      <c r="D80">
        <v>9.58</v>
      </c>
      <c r="E80">
        <v>36</v>
      </c>
      <c r="F80">
        <v>0</v>
      </c>
      <c r="G80" t="s">
        <v>2</v>
      </c>
      <c r="H80">
        <v>7</v>
      </c>
      <c r="I80">
        <v>43333</v>
      </c>
      <c r="J80">
        <v>837</v>
      </c>
      <c r="K80" t="str" cm="1">
        <f t="array" ref="K80">_xlfn.IFS(J80&lt;600,"520-599",J80&lt;650,"600-649",J80&lt;700,"650-699",J80&lt;750,"700-749",TRUE,"750+")</f>
        <v>750+</v>
      </c>
      <c r="L80" t="str" cm="1">
        <f t="array" ref="L80">_xlfn.IFS(E80&lt;20,"1. Under 20",E80&lt;30,"2. 20-29",E80&lt;40,"3. 30-39",E80&lt;50,"4. 40-49",E80&lt;60,"5. 50-59",E80&lt;70,"6. 60-69",E80&lt;80,"7. 70-79",TRUE,"8. 80+")</f>
        <v>3. 30-39</v>
      </c>
      <c r="M80" t="str">
        <f t="shared" si="1"/>
        <v>2+ years</v>
      </c>
    </row>
    <row r="81" spans="1:13" x14ac:dyDescent="0.25">
      <c r="A81" t="s">
        <v>94</v>
      </c>
      <c r="B81" t="s">
        <v>13</v>
      </c>
      <c r="C81">
        <v>47600</v>
      </c>
      <c r="D81">
        <v>13.53</v>
      </c>
      <c r="E81">
        <v>86.4</v>
      </c>
      <c r="F81">
        <v>1</v>
      </c>
      <c r="G81" t="s">
        <v>7</v>
      </c>
      <c r="H81">
        <v>27</v>
      </c>
      <c r="I81">
        <v>81913</v>
      </c>
      <c r="J81">
        <v>546</v>
      </c>
      <c r="K81" t="str" cm="1">
        <f t="array" ref="K81">_xlfn.IFS(J81&lt;600,"520-599",J81&lt;650,"600-649",J81&lt;700,"650-699",J81&lt;750,"700-749",TRUE,"750+")</f>
        <v>520-599</v>
      </c>
      <c r="L81" t="str" cm="1">
        <f t="array" ref="L81">_xlfn.IFS(E81&lt;20,"1. Under 20",E81&lt;30,"2. 20-29",E81&lt;40,"3. 30-39",E81&lt;50,"4. 40-49",E81&lt;60,"5. 50-59",E81&lt;70,"6. 60-69",E81&lt;80,"7. 70-79",TRUE,"8. 80+")</f>
        <v>8. 80+</v>
      </c>
      <c r="M81" t="str">
        <f t="shared" si="1"/>
        <v>2+ years</v>
      </c>
    </row>
    <row r="82" spans="1:13" x14ac:dyDescent="0.25">
      <c r="A82" t="s">
        <v>95</v>
      </c>
      <c r="B82" t="s">
        <v>19</v>
      </c>
      <c r="C82">
        <v>23300</v>
      </c>
      <c r="D82">
        <v>14.9</v>
      </c>
      <c r="E82">
        <v>83.8</v>
      </c>
      <c r="F82">
        <v>1</v>
      </c>
      <c r="G82" t="s">
        <v>7</v>
      </c>
      <c r="H82">
        <v>27</v>
      </c>
      <c r="I82">
        <v>81913</v>
      </c>
      <c r="J82">
        <v>546</v>
      </c>
      <c r="K82" t="str" cm="1">
        <f t="array" ref="K82">_xlfn.IFS(J82&lt;600,"520-599",J82&lt;650,"600-649",J82&lt;700,"650-699",J82&lt;750,"700-749",TRUE,"750+")</f>
        <v>520-599</v>
      </c>
      <c r="L82" t="str" cm="1">
        <f t="array" ref="L82">_xlfn.IFS(E82&lt;20,"1. Under 20",E82&lt;30,"2. 20-29",E82&lt;40,"3. 30-39",E82&lt;50,"4. 40-49",E82&lt;60,"5. 50-59",E82&lt;70,"6. 60-69",E82&lt;80,"7. 70-79",TRUE,"8. 80+")</f>
        <v>8. 80+</v>
      </c>
      <c r="M82" t="str">
        <f t="shared" si="1"/>
        <v>2+ years</v>
      </c>
    </row>
    <row r="83" spans="1:13" x14ac:dyDescent="0.25">
      <c r="A83" t="s">
        <v>96</v>
      </c>
      <c r="B83" t="s">
        <v>6</v>
      </c>
      <c r="C83">
        <v>16300</v>
      </c>
      <c r="D83">
        <v>13.69</v>
      </c>
      <c r="E83">
        <v>76.900000000000006</v>
      </c>
      <c r="F83">
        <v>0</v>
      </c>
      <c r="G83" t="s">
        <v>7</v>
      </c>
      <c r="H83">
        <v>33</v>
      </c>
      <c r="I83">
        <v>67726</v>
      </c>
      <c r="J83">
        <v>625</v>
      </c>
      <c r="K83" t="str" cm="1">
        <f t="array" ref="K83">_xlfn.IFS(J83&lt;600,"520-599",J83&lt;650,"600-649",J83&lt;700,"650-699",J83&lt;750,"700-749",TRUE,"750+")</f>
        <v>600-649</v>
      </c>
      <c r="L83" t="str" cm="1">
        <f t="array" ref="L83">_xlfn.IFS(E83&lt;20,"1. Under 20",E83&lt;30,"2. 20-29",E83&lt;40,"3. 30-39",E83&lt;50,"4. 40-49",E83&lt;60,"5. 50-59",E83&lt;70,"6. 60-69",E83&lt;80,"7. 70-79",TRUE,"8. 80+")</f>
        <v>7. 70-79</v>
      </c>
      <c r="M83" t="str">
        <f t="shared" si="1"/>
        <v>2+ years</v>
      </c>
    </row>
    <row r="84" spans="1:13" x14ac:dyDescent="0.25">
      <c r="A84" t="s">
        <v>97</v>
      </c>
      <c r="B84" t="s">
        <v>1</v>
      </c>
      <c r="C84">
        <v>43500</v>
      </c>
      <c r="D84">
        <v>9.6</v>
      </c>
      <c r="E84">
        <v>118.6</v>
      </c>
      <c r="F84">
        <v>0</v>
      </c>
      <c r="G84" t="s">
        <v>7</v>
      </c>
      <c r="H84">
        <v>33</v>
      </c>
      <c r="I84">
        <v>67726</v>
      </c>
      <c r="J84">
        <v>625</v>
      </c>
      <c r="K84" t="str" cm="1">
        <f t="array" ref="K84">_xlfn.IFS(J84&lt;600,"520-599",J84&lt;650,"600-649",J84&lt;700,"650-699",J84&lt;750,"700-749",TRUE,"750+")</f>
        <v>600-649</v>
      </c>
      <c r="L84" t="str" cm="1">
        <f t="array" ref="L84">_xlfn.IFS(E84&lt;20,"1. Under 20",E84&lt;30,"2. 20-29",E84&lt;40,"3. 30-39",E84&lt;50,"4. 40-49",E84&lt;60,"5. 50-59",E84&lt;70,"6. 60-69",E84&lt;80,"7. 70-79",TRUE,"8. 80+")</f>
        <v>8. 80+</v>
      </c>
      <c r="M84" t="str">
        <f t="shared" si="1"/>
        <v>2+ years</v>
      </c>
    </row>
    <row r="85" spans="1:13" x14ac:dyDescent="0.25">
      <c r="A85" t="s">
        <v>98</v>
      </c>
      <c r="B85" t="s">
        <v>21</v>
      </c>
      <c r="C85">
        <v>25900</v>
      </c>
      <c r="D85">
        <v>8.4499999999999993</v>
      </c>
      <c r="E85">
        <v>40</v>
      </c>
      <c r="F85">
        <v>0</v>
      </c>
      <c r="G85" t="s">
        <v>10</v>
      </c>
      <c r="H85">
        <v>15</v>
      </c>
      <c r="I85">
        <v>78399</v>
      </c>
      <c r="J85">
        <v>700</v>
      </c>
      <c r="K85" t="str" cm="1">
        <f t="array" ref="K85">_xlfn.IFS(J85&lt;600,"520-599",J85&lt;650,"600-649",J85&lt;700,"650-699",J85&lt;750,"700-749",TRUE,"750+")</f>
        <v>700-749</v>
      </c>
      <c r="L85" t="str" cm="1">
        <f t="array" ref="L85">_xlfn.IFS(E85&lt;20,"1. Under 20",E85&lt;30,"2. 20-29",E85&lt;40,"3. 30-39",E85&lt;50,"4. 40-49",E85&lt;60,"5. 50-59",E85&lt;70,"6. 60-69",E85&lt;80,"7. 70-79",TRUE,"8. 80+")</f>
        <v>4. 40-49</v>
      </c>
      <c r="M85" t="str">
        <f t="shared" si="1"/>
        <v>2+ years</v>
      </c>
    </row>
    <row r="86" spans="1:13" x14ac:dyDescent="0.25">
      <c r="A86" t="s">
        <v>99</v>
      </c>
      <c r="B86" t="s">
        <v>6</v>
      </c>
      <c r="C86">
        <v>19800</v>
      </c>
      <c r="D86">
        <v>8.23</v>
      </c>
      <c r="E86">
        <v>51.2</v>
      </c>
      <c r="F86">
        <v>0</v>
      </c>
      <c r="G86" t="s">
        <v>2</v>
      </c>
      <c r="H86">
        <v>20</v>
      </c>
      <c r="I86">
        <v>62062</v>
      </c>
      <c r="J86">
        <v>788</v>
      </c>
      <c r="K86" t="str" cm="1">
        <f t="array" ref="K86">_xlfn.IFS(J86&lt;600,"520-599",J86&lt;650,"600-649",J86&lt;700,"650-699",J86&lt;750,"700-749",TRUE,"750+")</f>
        <v>750+</v>
      </c>
      <c r="L86" t="str" cm="1">
        <f t="array" ref="L86">_xlfn.IFS(E86&lt;20,"1. Under 20",E86&lt;30,"2. 20-29",E86&lt;40,"3. 30-39",E86&lt;50,"4. 40-49",E86&lt;60,"5. 50-59",E86&lt;70,"6. 60-69",E86&lt;80,"7. 70-79",TRUE,"8. 80+")</f>
        <v>5. 50-59</v>
      </c>
      <c r="M86" t="str">
        <f t="shared" si="1"/>
        <v>2+ years</v>
      </c>
    </row>
    <row r="87" spans="1:13" x14ac:dyDescent="0.25">
      <c r="A87" t="s">
        <v>100</v>
      </c>
      <c r="B87" t="s">
        <v>19</v>
      </c>
      <c r="C87">
        <v>28400</v>
      </c>
      <c r="D87">
        <v>11.71</v>
      </c>
      <c r="E87">
        <v>39.700000000000003</v>
      </c>
      <c r="F87">
        <v>0</v>
      </c>
      <c r="G87" t="s">
        <v>2</v>
      </c>
      <c r="H87">
        <v>16</v>
      </c>
      <c r="I87">
        <v>78303</v>
      </c>
      <c r="J87">
        <v>540</v>
      </c>
      <c r="K87" t="str" cm="1">
        <f t="array" ref="K87">_xlfn.IFS(J87&lt;600,"520-599",J87&lt;650,"600-649",J87&lt;700,"650-699",J87&lt;750,"700-749",TRUE,"750+")</f>
        <v>520-599</v>
      </c>
      <c r="L87" t="str" cm="1">
        <f t="array" ref="L87">_xlfn.IFS(E87&lt;20,"1. Under 20",E87&lt;30,"2. 20-29",E87&lt;40,"3. 30-39",E87&lt;50,"4. 40-49",E87&lt;60,"5. 50-59",E87&lt;70,"6. 60-69",E87&lt;80,"7. 70-79",TRUE,"8. 80+")</f>
        <v>3. 30-39</v>
      </c>
      <c r="M87" t="str">
        <f t="shared" si="1"/>
        <v>2+ years</v>
      </c>
    </row>
    <row r="88" spans="1:13" x14ac:dyDescent="0.25">
      <c r="A88" t="s">
        <v>101</v>
      </c>
      <c r="B88" t="s">
        <v>6</v>
      </c>
      <c r="C88">
        <v>8200</v>
      </c>
      <c r="D88">
        <v>11.25</v>
      </c>
      <c r="E88">
        <v>27.5</v>
      </c>
      <c r="F88">
        <v>0</v>
      </c>
      <c r="G88" t="s">
        <v>2</v>
      </c>
      <c r="H88">
        <v>28</v>
      </c>
      <c r="I88">
        <v>110018</v>
      </c>
      <c r="J88">
        <v>796</v>
      </c>
      <c r="K88" t="str" cm="1">
        <f t="array" ref="K88">_xlfn.IFS(J88&lt;600,"520-599",J88&lt;650,"600-649",J88&lt;700,"650-699",J88&lt;750,"700-749",TRUE,"750+")</f>
        <v>750+</v>
      </c>
      <c r="L88" t="str" cm="1">
        <f t="array" ref="L88">_xlfn.IFS(E88&lt;20,"1. Under 20",E88&lt;30,"2. 20-29",E88&lt;40,"3. 30-39",E88&lt;50,"4. 40-49",E88&lt;60,"5. 50-59",E88&lt;70,"6. 60-69",E88&lt;80,"7. 70-79",TRUE,"8. 80+")</f>
        <v>2. 20-29</v>
      </c>
      <c r="M88" t="str">
        <f t="shared" si="1"/>
        <v>2+ years</v>
      </c>
    </row>
    <row r="89" spans="1:13" x14ac:dyDescent="0.25">
      <c r="A89" t="s">
        <v>102</v>
      </c>
      <c r="B89" t="s">
        <v>15</v>
      </c>
      <c r="C89">
        <v>44800</v>
      </c>
      <c r="D89">
        <v>9.81</v>
      </c>
      <c r="E89">
        <v>37.6</v>
      </c>
      <c r="F89">
        <v>0</v>
      </c>
      <c r="G89" t="s">
        <v>2</v>
      </c>
      <c r="H89">
        <v>28</v>
      </c>
      <c r="I89">
        <v>110018</v>
      </c>
      <c r="J89">
        <v>796</v>
      </c>
      <c r="K89" t="str" cm="1">
        <f t="array" ref="K89">_xlfn.IFS(J89&lt;600,"520-599",J89&lt;650,"600-649",J89&lt;700,"650-699",J89&lt;750,"700-749",TRUE,"750+")</f>
        <v>750+</v>
      </c>
      <c r="L89" t="str" cm="1">
        <f t="array" ref="L89">_xlfn.IFS(E89&lt;20,"1. Under 20",E89&lt;30,"2. 20-29",E89&lt;40,"3. 30-39",E89&lt;50,"4. 40-49",E89&lt;60,"5. 50-59",E89&lt;70,"6. 60-69",E89&lt;80,"7. 70-79",TRUE,"8. 80+")</f>
        <v>3. 30-39</v>
      </c>
      <c r="M89" t="str">
        <f t="shared" si="1"/>
        <v>2+ years</v>
      </c>
    </row>
    <row r="90" spans="1:13" x14ac:dyDescent="0.25">
      <c r="A90" t="s">
        <v>103</v>
      </c>
      <c r="B90" t="s">
        <v>17</v>
      </c>
      <c r="C90">
        <v>31800</v>
      </c>
      <c r="D90">
        <v>9.57</v>
      </c>
      <c r="E90">
        <v>56.6</v>
      </c>
      <c r="F90">
        <v>0</v>
      </c>
      <c r="G90" t="s">
        <v>23</v>
      </c>
      <c r="H90">
        <v>11</v>
      </c>
      <c r="I90">
        <v>28195</v>
      </c>
      <c r="J90">
        <v>796</v>
      </c>
      <c r="K90" t="str" cm="1">
        <f t="array" ref="K90">_xlfn.IFS(J90&lt;600,"520-599",J90&lt;650,"600-649",J90&lt;700,"650-699",J90&lt;750,"700-749",TRUE,"750+")</f>
        <v>750+</v>
      </c>
      <c r="L90" t="str" cm="1">
        <f t="array" ref="L90">_xlfn.IFS(E90&lt;20,"1. Under 20",E90&lt;30,"2. 20-29",E90&lt;40,"3. 30-39",E90&lt;50,"4. 40-49",E90&lt;60,"5. 50-59",E90&lt;70,"6. 60-69",E90&lt;80,"7. 70-79",TRUE,"8. 80+")</f>
        <v>5. 50-59</v>
      </c>
      <c r="M90" t="str">
        <f t="shared" si="1"/>
        <v>2+ years</v>
      </c>
    </row>
    <row r="91" spans="1:13" x14ac:dyDescent="0.25">
      <c r="A91" t="s">
        <v>104</v>
      </c>
      <c r="B91" t="s">
        <v>1</v>
      </c>
      <c r="C91">
        <v>12900</v>
      </c>
      <c r="D91">
        <v>9.09</v>
      </c>
      <c r="E91">
        <v>36.200000000000003</v>
      </c>
      <c r="F91">
        <v>0</v>
      </c>
      <c r="G91" t="s">
        <v>23</v>
      </c>
      <c r="H91">
        <v>11</v>
      </c>
      <c r="I91">
        <v>28195</v>
      </c>
      <c r="J91">
        <v>796</v>
      </c>
      <c r="K91" t="str" cm="1">
        <f t="array" ref="K91">_xlfn.IFS(J91&lt;600,"520-599",J91&lt;650,"600-649",J91&lt;700,"650-699",J91&lt;750,"700-749",TRUE,"750+")</f>
        <v>750+</v>
      </c>
      <c r="L91" t="str" cm="1">
        <f t="array" ref="L91">_xlfn.IFS(E91&lt;20,"1. Under 20",E91&lt;30,"2. 20-29",E91&lt;40,"3. 30-39",E91&lt;50,"4. 40-49",E91&lt;60,"5. 50-59",E91&lt;70,"6. 60-69",E91&lt;80,"7. 70-79",TRUE,"8. 80+")</f>
        <v>3. 30-39</v>
      </c>
      <c r="M91" t="str">
        <f t="shared" si="1"/>
        <v>2+ years</v>
      </c>
    </row>
    <row r="92" spans="1:13" x14ac:dyDescent="0.25">
      <c r="A92" t="s">
        <v>105</v>
      </c>
      <c r="B92" t="s">
        <v>15</v>
      </c>
      <c r="C92">
        <v>27200</v>
      </c>
      <c r="D92">
        <v>11.88</v>
      </c>
      <c r="E92">
        <v>70.400000000000006</v>
      </c>
      <c r="F92">
        <v>1</v>
      </c>
      <c r="G92" t="s">
        <v>7</v>
      </c>
      <c r="H92">
        <v>20</v>
      </c>
      <c r="I92">
        <v>34974</v>
      </c>
      <c r="J92">
        <v>623</v>
      </c>
      <c r="K92" t="str" cm="1">
        <f t="array" ref="K92">_xlfn.IFS(J92&lt;600,"520-599",J92&lt;650,"600-649",J92&lt;700,"650-699",J92&lt;750,"700-749",TRUE,"750+")</f>
        <v>600-649</v>
      </c>
      <c r="L92" t="str" cm="1">
        <f t="array" ref="L92">_xlfn.IFS(E92&lt;20,"1. Under 20",E92&lt;30,"2. 20-29",E92&lt;40,"3. 30-39",E92&lt;50,"4. 40-49",E92&lt;60,"5. 50-59",E92&lt;70,"6. 60-69",E92&lt;80,"7. 70-79",TRUE,"8. 80+")</f>
        <v>7. 70-79</v>
      </c>
      <c r="M92" t="str">
        <f t="shared" si="1"/>
        <v>2+ years</v>
      </c>
    </row>
    <row r="93" spans="1:13" x14ac:dyDescent="0.25">
      <c r="A93" t="s">
        <v>106</v>
      </c>
      <c r="B93" t="s">
        <v>1</v>
      </c>
      <c r="C93">
        <v>15500</v>
      </c>
      <c r="D93">
        <v>9.64</v>
      </c>
      <c r="E93">
        <v>29.3</v>
      </c>
      <c r="F93">
        <v>0</v>
      </c>
      <c r="G93" t="s">
        <v>7</v>
      </c>
      <c r="H93">
        <v>9</v>
      </c>
      <c r="I93">
        <v>62875</v>
      </c>
      <c r="J93">
        <v>803</v>
      </c>
      <c r="K93" t="str" cm="1">
        <f t="array" ref="K93">_xlfn.IFS(J93&lt;600,"520-599",J93&lt;650,"600-649",J93&lt;700,"650-699",J93&lt;750,"700-749",TRUE,"750+")</f>
        <v>750+</v>
      </c>
      <c r="L93" t="str" cm="1">
        <f t="array" ref="L93">_xlfn.IFS(E93&lt;20,"1. Under 20",E93&lt;30,"2. 20-29",E93&lt;40,"3. 30-39",E93&lt;50,"4. 40-49",E93&lt;60,"5. 50-59",E93&lt;70,"6. 60-69",E93&lt;80,"7. 70-79",TRUE,"8. 80+")</f>
        <v>2. 20-29</v>
      </c>
      <c r="M93" t="str">
        <f t="shared" si="1"/>
        <v>2+ years</v>
      </c>
    </row>
    <row r="94" spans="1:13" x14ac:dyDescent="0.25">
      <c r="A94" t="s">
        <v>107</v>
      </c>
      <c r="B94" t="s">
        <v>6</v>
      </c>
      <c r="C94">
        <v>35700</v>
      </c>
      <c r="D94">
        <v>11.14</v>
      </c>
      <c r="E94">
        <v>74.900000000000006</v>
      </c>
      <c r="F94">
        <v>1</v>
      </c>
      <c r="G94" t="s">
        <v>7</v>
      </c>
      <c r="H94">
        <v>1</v>
      </c>
      <c r="I94">
        <v>41201</v>
      </c>
      <c r="J94">
        <v>670</v>
      </c>
      <c r="K94" t="str" cm="1">
        <f t="array" ref="K94">_xlfn.IFS(J94&lt;600,"520-599",J94&lt;650,"600-649",J94&lt;700,"650-699",J94&lt;750,"700-749",TRUE,"750+")</f>
        <v>650-699</v>
      </c>
      <c r="L94" t="str" cm="1">
        <f t="array" ref="L94">_xlfn.IFS(E94&lt;20,"1. Under 20",E94&lt;30,"2. 20-29",E94&lt;40,"3. 30-39",E94&lt;50,"4. 40-49",E94&lt;60,"5. 50-59",E94&lt;70,"6. 60-69",E94&lt;80,"7. 70-79",TRUE,"8. 80+")</f>
        <v>7. 70-79</v>
      </c>
      <c r="M94" t="str">
        <f t="shared" si="1"/>
        <v>Under 2 years</v>
      </c>
    </row>
    <row r="95" spans="1:13" x14ac:dyDescent="0.25">
      <c r="A95" t="s">
        <v>108</v>
      </c>
      <c r="B95" t="s">
        <v>1</v>
      </c>
      <c r="C95">
        <v>18400</v>
      </c>
      <c r="D95">
        <v>8.11</v>
      </c>
      <c r="E95">
        <v>56.7</v>
      </c>
      <c r="F95">
        <v>0</v>
      </c>
      <c r="G95" t="s">
        <v>7</v>
      </c>
      <c r="H95">
        <v>18</v>
      </c>
      <c r="I95">
        <v>129479</v>
      </c>
      <c r="J95">
        <v>843</v>
      </c>
      <c r="K95" t="str" cm="1">
        <f t="array" ref="K95">_xlfn.IFS(J95&lt;600,"520-599",J95&lt;650,"600-649",J95&lt;700,"650-699",J95&lt;750,"700-749",TRUE,"750+")</f>
        <v>750+</v>
      </c>
      <c r="L95" t="str" cm="1">
        <f t="array" ref="L95">_xlfn.IFS(E95&lt;20,"1. Under 20",E95&lt;30,"2. 20-29",E95&lt;40,"3. 30-39",E95&lt;50,"4. 40-49",E95&lt;60,"5. 50-59",E95&lt;70,"6. 60-69",E95&lt;80,"7. 70-79",TRUE,"8. 80+")</f>
        <v>5. 50-59</v>
      </c>
      <c r="M95" t="str">
        <f t="shared" si="1"/>
        <v>2+ years</v>
      </c>
    </row>
    <row r="96" spans="1:13" x14ac:dyDescent="0.25">
      <c r="A96" t="s">
        <v>109</v>
      </c>
      <c r="B96" t="s">
        <v>17</v>
      </c>
      <c r="C96">
        <v>36200</v>
      </c>
      <c r="D96">
        <v>7.99</v>
      </c>
      <c r="E96">
        <v>21.1</v>
      </c>
      <c r="F96">
        <v>0</v>
      </c>
      <c r="G96" t="s">
        <v>7</v>
      </c>
      <c r="H96">
        <v>15</v>
      </c>
      <c r="I96">
        <v>125137</v>
      </c>
      <c r="J96">
        <v>755</v>
      </c>
      <c r="K96" t="str" cm="1">
        <f t="array" ref="K96">_xlfn.IFS(J96&lt;600,"520-599",J96&lt;650,"600-649",J96&lt;700,"650-699",J96&lt;750,"700-749",TRUE,"750+")</f>
        <v>750+</v>
      </c>
      <c r="L96" t="str" cm="1">
        <f t="array" ref="L96">_xlfn.IFS(E96&lt;20,"1. Under 20",E96&lt;30,"2. 20-29",E96&lt;40,"3. 30-39",E96&lt;50,"4. 40-49",E96&lt;60,"5. 50-59",E96&lt;70,"6. 60-69",E96&lt;80,"7. 70-79",TRUE,"8. 80+")</f>
        <v>2. 20-29</v>
      </c>
      <c r="M96" t="str">
        <f t="shared" si="1"/>
        <v>2+ years</v>
      </c>
    </row>
    <row r="97" spans="1:13" x14ac:dyDescent="0.25">
      <c r="A97" t="s">
        <v>110</v>
      </c>
      <c r="B97" t="s">
        <v>4</v>
      </c>
      <c r="C97">
        <v>4900</v>
      </c>
      <c r="D97">
        <v>10.19</v>
      </c>
      <c r="E97">
        <v>45.4</v>
      </c>
      <c r="F97">
        <v>0</v>
      </c>
      <c r="G97" t="s">
        <v>7</v>
      </c>
      <c r="H97">
        <v>26</v>
      </c>
      <c r="I97">
        <v>75894</v>
      </c>
      <c r="J97">
        <v>820</v>
      </c>
      <c r="K97" t="str" cm="1">
        <f t="array" ref="K97">_xlfn.IFS(J97&lt;600,"520-599",J97&lt;650,"600-649",J97&lt;700,"650-699",J97&lt;750,"700-749",TRUE,"750+")</f>
        <v>750+</v>
      </c>
      <c r="L97" t="str" cm="1">
        <f t="array" ref="L97">_xlfn.IFS(E97&lt;20,"1. Under 20",E97&lt;30,"2. 20-29",E97&lt;40,"3. 30-39",E97&lt;50,"4. 40-49",E97&lt;60,"5. 50-59",E97&lt;70,"6. 60-69",E97&lt;80,"7. 70-79",TRUE,"8. 80+")</f>
        <v>4. 40-49</v>
      </c>
      <c r="M97" t="str">
        <f t="shared" si="1"/>
        <v>2+ years</v>
      </c>
    </row>
    <row r="98" spans="1:13" x14ac:dyDescent="0.25">
      <c r="A98" t="s">
        <v>111</v>
      </c>
      <c r="B98" t="s">
        <v>15</v>
      </c>
      <c r="C98">
        <v>45400</v>
      </c>
      <c r="D98">
        <v>11.14</v>
      </c>
      <c r="E98">
        <v>92.5</v>
      </c>
      <c r="F98">
        <v>0</v>
      </c>
      <c r="G98" t="s">
        <v>7</v>
      </c>
      <c r="H98">
        <v>9</v>
      </c>
      <c r="I98">
        <v>95478</v>
      </c>
      <c r="J98">
        <v>759</v>
      </c>
      <c r="K98" t="str" cm="1">
        <f t="array" ref="K98">_xlfn.IFS(J98&lt;600,"520-599",J98&lt;650,"600-649",J98&lt;700,"650-699",J98&lt;750,"700-749",TRUE,"750+")</f>
        <v>750+</v>
      </c>
      <c r="L98" t="str" cm="1">
        <f t="array" ref="L98">_xlfn.IFS(E98&lt;20,"1. Under 20",E98&lt;30,"2. 20-29",E98&lt;40,"3. 30-39",E98&lt;50,"4. 40-49",E98&lt;60,"5. 50-59",E98&lt;70,"6. 60-69",E98&lt;80,"7. 70-79",TRUE,"8. 80+")</f>
        <v>8. 80+</v>
      </c>
      <c r="M98" t="str">
        <f t="shared" si="1"/>
        <v>2+ years</v>
      </c>
    </row>
    <row r="99" spans="1:13" x14ac:dyDescent="0.25">
      <c r="A99" t="s">
        <v>112</v>
      </c>
      <c r="B99" t="s">
        <v>19</v>
      </c>
      <c r="C99">
        <v>17200</v>
      </c>
      <c r="D99">
        <v>13.11</v>
      </c>
      <c r="E99">
        <v>37.799999999999997</v>
      </c>
      <c r="F99">
        <v>0</v>
      </c>
      <c r="G99" t="s">
        <v>7</v>
      </c>
      <c r="H99">
        <v>5</v>
      </c>
      <c r="I99">
        <v>45779</v>
      </c>
      <c r="J99">
        <v>652</v>
      </c>
      <c r="K99" t="str" cm="1">
        <f t="array" ref="K99">_xlfn.IFS(J99&lt;600,"520-599",J99&lt;650,"600-649",J99&lt;700,"650-699",J99&lt;750,"700-749",TRUE,"750+")</f>
        <v>650-699</v>
      </c>
      <c r="L99" t="str" cm="1">
        <f t="array" ref="L99">_xlfn.IFS(E99&lt;20,"1. Under 20",E99&lt;30,"2. 20-29",E99&lt;40,"3. 30-39",E99&lt;50,"4. 40-49",E99&lt;60,"5. 50-59",E99&lt;70,"6. 60-69",E99&lt;80,"7. 70-79",TRUE,"8. 80+")</f>
        <v>3. 30-39</v>
      </c>
      <c r="M99" t="str">
        <f t="shared" si="1"/>
        <v>2+ years</v>
      </c>
    </row>
    <row r="100" spans="1:13" x14ac:dyDescent="0.25">
      <c r="A100" t="s">
        <v>113</v>
      </c>
      <c r="B100" t="s">
        <v>17</v>
      </c>
      <c r="C100">
        <v>31400</v>
      </c>
      <c r="D100">
        <v>10.79</v>
      </c>
      <c r="E100">
        <v>58.2</v>
      </c>
      <c r="F100">
        <v>0</v>
      </c>
      <c r="G100" t="s">
        <v>7</v>
      </c>
      <c r="H100">
        <v>29</v>
      </c>
      <c r="I100">
        <v>58981</v>
      </c>
      <c r="J100">
        <v>674</v>
      </c>
      <c r="K100" t="str" cm="1">
        <f t="array" ref="K100">_xlfn.IFS(J100&lt;600,"520-599",J100&lt;650,"600-649",J100&lt;700,"650-699",J100&lt;750,"700-749",TRUE,"750+")</f>
        <v>650-699</v>
      </c>
      <c r="L100" t="str" cm="1">
        <f t="array" ref="L100">_xlfn.IFS(E100&lt;20,"1. Under 20",E100&lt;30,"2. 20-29",E100&lt;40,"3. 30-39",E100&lt;50,"4. 40-49",E100&lt;60,"5. 50-59",E100&lt;70,"6. 60-69",E100&lt;80,"7. 70-79",TRUE,"8. 80+")</f>
        <v>5. 50-59</v>
      </c>
      <c r="M100" t="str">
        <f t="shared" si="1"/>
        <v>2+ years</v>
      </c>
    </row>
    <row r="101" spans="1:13" x14ac:dyDescent="0.25">
      <c r="A101" t="s">
        <v>114</v>
      </c>
      <c r="B101" t="s">
        <v>21</v>
      </c>
      <c r="C101">
        <v>10800</v>
      </c>
      <c r="D101">
        <v>9.32</v>
      </c>
      <c r="E101">
        <v>51.4</v>
      </c>
      <c r="F101">
        <v>0</v>
      </c>
      <c r="G101" t="s">
        <v>7</v>
      </c>
      <c r="H101">
        <v>29</v>
      </c>
      <c r="I101">
        <v>58981</v>
      </c>
      <c r="J101">
        <v>674</v>
      </c>
      <c r="K101" t="str" cm="1">
        <f t="array" ref="K101">_xlfn.IFS(J101&lt;600,"520-599",J101&lt;650,"600-649",J101&lt;700,"650-699",J101&lt;750,"700-749",TRUE,"750+")</f>
        <v>650-699</v>
      </c>
      <c r="L101" t="str" cm="1">
        <f t="array" ref="L101">_xlfn.IFS(E101&lt;20,"1. Under 20",E101&lt;30,"2. 20-29",E101&lt;40,"3. 30-39",E101&lt;50,"4. 40-49",E101&lt;60,"5. 50-59",E101&lt;70,"6. 60-69",E101&lt;80,"7. 70-79",TRUE,"8. 80+")</f>
        <v>5. 50-59</v>
      </c>
      <c r="M101" t="str">
        <f t="shared" si="1"/>
        <v>2+ years</v>
      </c>
    </row>
    <row r="102" spans="1:13" x14ac:dyDescent="0.25">
      <c r="A102" t="s">
        <v>115</v>
      </c>
      <c r="B102" t="s">
        <v>13</v>
      </c>
      <c r="C102">
        <v>21500</v>
      </c>
      <c r="D102">
        <v>12.93</v>
      </c>
      <c r="E102">
        <v>59.3</v>
      </c>
      <c r="F102">
        <v>1</v>
      </c>
      <c r="G102" t="s">
        <v>10</v>
      </c>
      <c r="H102">
        <v>34</v>
      </c>
      <c r="I102">
        <v>53220</v>
      </c>
      <c r="J102">
        <v>588</v>
      </c>
      <c r="K102" t="str" cm="1">
        <f t="array" ref="K102">_xlfn.IFS(J102&lt;600,"520-599",J102&lt;650,"600-649",J102&lt;700,"650-699",J102&lt;750,"700-749",TRUE,"750+")</f>
        <v>520-599</v>
      </c>
      <c r="L102" t="str" cm="1">
        <f t="array" ref="L102">_xlfn.IFS(E102&lt;20,"1. Under 20",E102&lt;30,"2. 20-29",E102&lt;40,"3. 30-39",E102&lt;50,"4. 40-49",E102&lt;60,"5. 50-59",E102&lt;70,"6. 60-69",E102&lt;80,"7. 70-79",TRUE,"8. 80+")</f>
        <v>5. 50-59</v>
      </c>
      <c r="M102" t="str">
        <f t="shared" si="1"/>
        <v>2+ years</v>
      </c>
    </row>
    <row r="103" spans="1:13" x14ac:dyDescent="0.25">
      <c r="A103" t="s">
        <v>116</v>
      </c>
      <c r="B103" t="s">
        <v>13</v>
      </c>
      <c r="C103">
        <v>9400</v>
      </c>
      <c r="D103">
        <v>6.99</v>
      </c>
      <c r="E103">
        <v>51.6</v>
      </c>
      <c r="F103">
        <v>0</v>
      </c>
      <c r="G103" t="s">
        <v>2</v>
      </c>
      <c r="H103">
        <v>2</v>
      </c>
      <c r="I103">
        <v>43345</v>
      </c>
      <c r="J103">
        <v>821</v>
      </c>
      <c r="K103" t="str" cm="1">
        <f t="array" ref="K103">_xlfn.IFS(J103&lt;600,"520-599",J103&lt;650,"600-649",J103&lt;700,"650-699",J103&lt;750,"700-749",TRUE,"750+")</f>
        <v>750+</v>
      </c>
      <c r="L103" t="str" cm="1">
        <f t="array" ref="L103">_xlfn.IFS(E103&lt;20,"1. Under 20",E103&lt;30,"2. 20-29",E103&lt;40,"3. 30-39",E103&lt;50,"4. 40-49",E103&lt;60,"5. 50-59",E103&lt;70,"6. 60-69",E103&lt;80,"7. 70-79",TRUE,"8. 80+")</f>
        <v>5. 50-59</v>
      </c>
      <c r="M103" t="str">
        <f t="shared" si="1"/>
        <v>2+ years</v>
      </c>
    </row>
    <row r="104" spans="1:13" x14ac:dyDescent="0.25">
      <c r="A104" t="s">
        <v>117</v>
      </c>
      <c r="B104" t="s">
        <v>15</v>
      </c>
      <c r="C104">
        <v>12500</v>
      </c>
      <c r="D104">
        <v>15.13</v>
      </c>
      <c r="E104">
        <v>18.7</v>
      </c>
      <c r="F104">
        <v>0</v>
      </c>
      <c r="G104" t="s">
        <v>7</v>
      </c>
      <c r="H104">
        <v>13</v>
      </c>
      <c r="I104">
        <v>45732</v>
      </c>
      <c r="J104">
        <v>550</v>
      </c>
      <c r="K104" t="str" cm="1">
        <f t="array" ref="K104">_xlfn.IFS(J104&lt;600,"520-599",J104&lt;650,"600-649",J104&lt;700,"650-699",J104&lt;750,"700-749",TRUE,"750+")</f>
        <v>520-599</v>
      </c>
      <c r="L104" t="str" cm="1">
        <f t="array" ref="L104">_xlfn.IFS(E104&lt;20,"1. Under 20",E104&lt;30,"2. 20-29",E104&lt;40,"3. 30-39",E104&lt;50,"4. 40-49",E104&lt;60,"5. 50-59",E104&lt;70,"6. 60-69",E104&lt;80,"7. 70-79",TRUE,"8. 80+")</f>
        <v>1. Under 20</v>
      </c>
      <c r="M104" t="str">
        <f t="shared" si="1"/>
        <v>2+ years</v>
      </c>
    </row>
    <row r="105" spans="1:13" x14ac:dyDescent="0.25">
      <c r="A105" t="s">
        <v>118</v>
      </c>
      <c r="B105" t="s">
        <v>4</v>
      </c>
      <c r="C105">
        <v>10900</v>
      </c>
      <c r="D105">
        <v>8.84</v>
      </c>
      <c r="E105">
        <v>41.2</v>
      </c>
      <c r="F105">
        <v>0</v>
      </c>
      <c r="G105" t="s">
        <v>23</v>
      </c>
      <c r="H105">
        <v>2</v>
      </c>
      <c r="I105">
        <v>74897</v>
      </c>
      <c r="J105">
        <v>672</v>
      </c>
      <c r="K105" t="str" cm="1">
        <f t="array" ref="K105">_xlfn.IFS(J105&lt;600,"520-599",J105&lt;650,"600-649",J105&lt;700,"650-699",J105&lt;750,"700-749",TRUE,"750+")</f>
        <v>650-699</v>
      </c>
      <c r="L105" t="str" cm="1">
        <f t="array" ref="L105">_xlfn.IFS(E105&lt;20,"1. Under 20",E105&lt;30,"2. 20-29",E105&lt;40,"3. 30-39",E105&lt;50,"4. 40-49",E105&lt;60,"5. 50-59",E105&lt;70,"6. 60-69",E105&lt;80,"7. 70-79",TRUE,"8. 80+")</f>
        <v>4. 40-49</v>
      </c>
      <c r="M105" t="str">
        <f t="shared" si="1"/>
        <v>2+ years</v>
      </c>
    </row>
    <row r="106" spans="1:13" x14ac:dyDescent="0.25">
      <c r="A106" t="s">
        <v>119</v>
      </c>
      <c r="B106" t="s">
        <v>4</v>
      </c>
      <c r="C106">
        <v>29700</v>
      </c>
      <c r="D106">
        <v>13.69</v>
      </c>
      <c r="E106">
        <v>80.2</v>
      </c>
      <c r="F106">
        <v>0</v>
      </c>
      <c r="G106" t="s">
        <v>23</v>
      </c>
      <c r="H106">
        <v>2</v>
      </c>
      <c r="I106">
        <v>74897</v>
      </c>
      <c r="J106">
        <v>672</v>
      </c>
      <c r="K106" t="str" cm="1">
        <f t="array" ref="K106">_xlfn.IFS(J106&lt;600,"520-599",J106&lt;650,"600-649",J106&lt;700,"650-699",J106&lt;750,"700-749",TRUE,"750+")</f>
        <v>650-699</v>
      </c>
      <c r="L106" t="str" cm="1">
        <f t="array" ref="L106">_xlfn.IFS(E106&lt;20,"1. Under 20",E106&lt;30,"2. 20-29",E106&lt;40,"3. 30-39",E106&lt;50,"4. 40-49",E106&lt;60,"5. 50-59",E106&lt;70,"6. 60-69",E106&lt;80,"7. 70-79",TRUE,"8. 80+")</f>
        <v>8. 80+</v>
      </c>
      <c r="M106" t="str">
        <f t="shared" si="1"/>
        <v>2+ years</v>
      </c>
    </row>
    <row r="107" spans="1:13" x14ac:dyDescent="0.25">
      <c r="A107" t="s">
        <v>120</v>
      </c>
      <c r="B107" t="s">
        <v>15</v>
      </c>
      <c r="C107">
        <v>16200</v>
      </c>
      <c r="D107">
        <v>9.39</v>
      </c>
      <c r="E107">
        <v>63.7</v>
      </c>
      <c r="F107">
        <v>0</v>
      </c>
      <c r="G107" t="s">
        <v>23</v>
      </c>
      <c r="H107">
        <v>2</v>
      </c>
      <c r="I107">
        <v>24609</v>
      </c>
      <c r="J107">
        <v>776</v>
      </c>
      <c r="K107" t="str" cm="1">
        <f t="array" ref="K107">_xlfn.IFS(J107&lt;600,"520-599",J107&lt;650,"600-649",J107&lt;700,"650-699",J107&lt;750,"700-749",TRUE,"750+")</f>
        <v>750+</v>
      </c>
      <c r="L107" t="str" cm="1">
        <f t="array" ref="L107">_xlfn.IFS(E107&lt;20,"1. Under 20",E107&lt;30,"2. 20-29",E107&lt;40,"3. 30-39",E107&lt;50,"4. 40-49",E107&lt;60,"5. 50-59",E107&lt;70,"6. 60-69",E107&lt;80,"7. 70-79",TRUE,"8. 80+")</f>
        <v>6. 60-69</v>
      </c>
      <c r="M107" t="str">
        <f t="shared" si="1"/>
        <v>2+ years</v>
      </c>
    </row>
    <row r="108" spans="1:13" x14ac:dyDescent="0.25">
      <c r="A108" t="s">
        <v>121</v>
      </c>
      <c r="B108" t="s">
        <v>17</v>
      </c>
      <c r="C108">
        <v>26700</v>
      </c>
      <c r="D108">
        <v>9.31</v>
      </c>
      <c r="E108">
        <v>33.299999999999997</v>
      </c>
      <c r="F108">
        <v>0</v>
      </c>
      <c r="G108" t="s">
        <v>2</v>
      </c>
      <c r="H108">
        <v>12</v>
      </c>
      <c r="I108">
        <v>42715</v>
      </c>
      <c r="J108">
        <v>735</v>
      </c>
      <c r="K108" t="str" cm="1">
        <f t="array" ref="K108">_xlfn.IFS(J108&lt;600,"520-599",J108&lt;650,"600-649",J108&lt;700,"650-699",J108&lt;750,"700-749",TRUE,"750+")</f>
        <v>700-749</v>
      </c>
      <c r="L108" t="str" cm="1">
        <f t="array" ref="L108">_xlfn.IFS(E108&lt;20,"1. Under 20",E108&lt;30,"2. 20-29",E108&lt;40,"3. 30-39",E108&lt;50,"4. 40-49",E108&lt;60,"5. 50-59",E108&lt;70,"6. 60-69",E108&lt;80,"7. 70-79",TRUE,"8. 80+")</f>
        <v>3. 30-39</v>
      </c>
      <c r="M108" t="str">
        <f t="shared" si="1"/>
        <v>2+ years</v>
      </c>
    </row>
    <row r="109" spans="1:13" x14ac:dyDescent="0.25">
      <c r="A109" t="s">
        <v>122</v>
      </c>
      <c r="B109" t="s">
        <v>1</v>
      </c>
      <c r="C109">
        <v>17900</v>
      </c>
      <c r="D109">
        <v>15.64</v>
      </c>
      <c r="E109">
        <v>29.3</v>
      </c>
      <c r="F109">
        <v>1</v>
      </c>
      <c r="G109" t="s">
        <v>7</v>
      </c>
      <c r="H109">
        <v>8</v>
      </c>
      <c r="I109">
        <v>120275</v>
      </c>
      <c r="J109">
        <v>550</v>
      </c>
      <c r="K109" t="str" cm="1">
        <f t="array" ref="K109">_xlfn.IFS(J109&lt;600,"520-599",J109&lt;650,"600-649",J109&lt;700,"650-699",J109&lt;750,"700-749",TRUE,"750+")</f>
        <v>520-599</v>
      </c>
      <c r="L109" t="str" cm="1">
        <f t="array" ref="L109">_xlfn.IFS(E109&lt;20,"1. Under 20",E109&lt;30,"2. 20-29",E109&lt;40,"3. 30-39",E109&lt;50,"4. 40-49",E109&lt;60,"5. 50-59",E109&lt;70,"6. 60-69",E109&lt;80,"7. 70-79",TRUE,"8. 80+")</f>
        <v>2. 20-29</v>
      </c>
      <c r="M109" t="str">
        <f t="shared" si="1"/>
        <v>2+ years</v>
      </c>
    </row>
    <row r="110" spans="1:13" x14ac:dyDescent="0.25">
      <c r="A110" t="s">
        <v>123</v>
      </c>
      <c r="B110" t="s">
        <v>26</v>
      </c>
      <c r="C110">
        <v>36900</v>
      </c>
      <c r="D110">
        <v>7.79</v>
      </c>
      <c r="E110">
        <v>45.9</v>
      </c>
      <c r="F110">
        <v>0</v>
      </c>
      <c r="G110" t="s">
        <v>2</v>
      </c>
      <c r="H110">
        <v>8</v>
      </c>
      <c r="I110">
        <v>53587</v>
      </c>
      <c r="J110">
        <v>811</v>
      </c>
      <c r="K110" t="str" cm="1">
        <f t="array" ref="K110">_xlfn.IFS(J110&lt;600,"520-599",J110&lt;650,"600-649",J110&lt;700,"650-699",J110&lt;750,"700-749",TRUE,"750+")</f>
        <v>750+</v>
      </c>
      <c r="L110" t="str" cm="1">
        <f t="array" ref="L110">_xlfn.IFS(E110&lt;20,"1. Under 20",E110&lt;30,"2. 20-29",E110&lt;40,"3. 30-39",E110&lt;50,"4. 40-49",E110&lt;60,"5. 50-59",E110&lt;70,"6. 60-69",E110&lt;80,"7. 70-79",TRUE,"8. 80+")</f>
        <v>4. 40-49</v>
      </c>
      <c r="M110" t="str">
        <f t="shared" si="1"/>
        <v>2+ years</v>
      </c>
    </row>
    <row r="111" spans="1:13" x14ac:dyDescent="0.25">
      <c r="A111" t="s">
        <v>124</v>
      </c>
      <c r="B111" t="s">
        <v>26</v>
      </c>
      <c r="C111">
        <v>9100</v>
      </c>
      <c r="D111">
        <v>12.34</v>
      </c>
      <c r="E111">
        <v>26.5</v>
      </c>
      <c r="F111">
        <v>1</v>
      </c>
      <c r="G111" t="s">
        <v>23</v>
      </c>
      <c r="H111">
        <v>2</v>
      </c>
      <c r="I111">
        <v>50328</v>
      </c>
      <c r="J111">
        <v>611</v>
      </c>
      <c r="K111" t="str" cm="1">
        <f t="array" ref="K111">_xlfn.IFS(J111&lt;600,"520-599",J111&lt;650,"600-649",J111&lt;700,"650-699",J111&lt;750,"700-749",TRUE,"750+")</f>
        <v>600-649</v>
      </c>
      <c r="L111" t="str" cm="1">
        <f t="array" ref="L111">_xlfn.IFS(E111&lt;20,"1. Under 20",E111&lt;30,"2. 20-29",E111&lt;40,"3. 30-39",E111&lt;50,"4. 40-49",E111&lt;60,"5. 50-59",E111&lt;70,"6. 60-69",E111&lt;80,"7. 70-79",TRUE,"8. 80+")</f>
        <v>2. 20-29</v>
      </c>
      <c r="M111" t="str">
        <f t="shared" si="1"/>
        <v>2+ years</v>
      </c>
    </row>
    <row r="112" spans="1:13" x14ac:dyDescent="0.25">
      <c r="A112" t="s">
        <v>125</v>
      </c>
      <c r="B112" t="s">
        <v>9</v>
      </c>
      <c r="C112">
        <v>5100</v>
      </c>
      <c r="D112">
        <v>11.3</v>
      </c>
      <c r="E112">
        <v>32.200000000000003</v>
      </c>
      <c r="F112">
        <v>0</v>
      </c>
      <c r="G112" t="s">
        <v>7</v>
      </c>
      <c r="H112">
        <v>4</v>
      </c>
      <c r="I112">
        <v>93690</v>
      </c>
      <c r="J112">
        <v>795</v>
      </c>
      <c r="K112" t="str" cm="1">
        <f t="array" ref="K112">_xlfn.IFS(J112&lt;600,"520-599",J112&lt;650,"600-649",J112&lt;700,"650-699",J112&lt;750,"700-749",TRUE,"750+")</f>
        <v>750+</v>
      </c>
      <c r="L112" t="str" cm="1">
        <f t="array" ref="L112">_xlfn.IFS(E112&lt;20,"1. Under 20",E112&lt;30,"2. 20-29",E112&lt;40,"3. 30-39",E112&lt;50,"4. 40-49",E112&lt;60,"5. 50-59",E112&lt;70,"6. 60-69",E112&lt;80,"7. 70-79",TRUE,"8. 80+")</f>
        <v>3. 30-39</v>
      </c>
      <c r="M112" t="str">
        <f t="shared" si="1"/>
        <v>2+ years</v>
      </c>
    </row>
    <row r="113" spans="1:13" x14ac:dyDescent="0.25">
      <c r="A113" t="s">
        <v>126</v>
      </c>
      <c r="B113" t="s">
        <v>19</v>
      </c>
      <c r="C113">
        <v>18700</v>
      </c>
      <c r="D113">
        <v>7.86</v>
      </c>
      <c r="E113">
        <v>94.1</v>
      </c>
      <c r="F113">
        <v>0</v>
      </c>
      <c r="G113" t="s">
        <v>23</v>
      </c>
      <c r="H113">
        <v>32</v>
      </c>
      <c r="I113">
        <v>25916</v>
      </c>
      <c r="J113">
        <v>831</v>
      </c>
      <c r="K113" t="str" cm="1">
        <f t="array" ref="K113">_xlfn.IFS(J113&lt;600,"520-599",J113&lt;650,"600-649",J113&lt;700,"650-699",J113&lt;750,"700-749",TRUE,"750+")</f>
        <v>750+</v>
      </c>
      <c r="L113" t="str" cm="1">
        <f t="array" ref="L113">_xlfn.IFS(E113&lt;20,"1. Under 20",E113&lt;30,"2. 20-29",E113&lt;40,"3. 30-39",E113&lt;50,"4. 40-49",E113&lt;60,"5. 50-59",E113&lt;70,"6. 60-69",E113&lt;80,"7. 70-79",TRUE,"8. 80+")</f>
        <v>8. 80+</v>
      </c>
      <c r="M113" t="str">
        <f t="shared" si="1"/>
        <v>2+ years</v>
      </c>
    </row>
    <row r="114" spans="1:13" x14ac:dyDescent="0.25">
      <c r="A114" t="s">
        <v>127</v>
      </c>
      <c r="B114" t="s">
        <v>4</v>
      </c>
      <c r="C114">
        <v>13400</v>
      </c>
      <c r="D114">
        <v>14.78</v>
      </c>
      <c r="E114">
        <v>65.599999999999994</v>
      </c>
      <c r="F114">
        <v>1</v>
      </c>
      <c r="G114" t="s">
        <v>2</v>
      </c>
      <c r="H114">
        <v>9</v>
      </c>
      <c r="I114">
        <v>41743</v>
      </c>
      <c r="J114">
        <v>531</v>
      </c>
      <c r="K114" t="str" cm="1">
        <f t="array" ref="K114">_xlfn.IFS(J114&lt;600,"520-599",J114&lt;650,"600-649",J114&lt;700,"650-699",J114&lt;750,"700-749",TRUE,"750+")</f>
        <v>520-599</v>
      </c>
      <c r="L114" t="str" cm="1">
        <f t="array" ref="L114">_xlfn.IFS(E114&lt;20,"1. Under 20",E114&lt;30,"2. 20-29",E114&lt;40,"3. 30-39",E114&lt;50,"4. 40-49",E114&lt;60,"5. 50-59",E114&lt;70,"6. 60-69",E114&lt;80,"7. 70-79",TRUE,"8. 80+")</f>
        <v>6. 60-69</v>
      </c>
      <c r="M114" t="str">
        <f t="shared" si="1"/>
        <v>2+ years</v>
      </c>
    </row>
    <row r="115" spans="1:13" x14ac:dyDescent="0.25">
      <c r="A115" t="s">
        <v>128</v>
      </c>
      <c r="B115" t="s">
        <v>21</v>
      </c>
      <c r="C115">
        <v>34300</v>
      </c>
      <c r="D115">
        <v>11.41</v>
      </c>
      <c r="E115">
        <v>142.30000000000001</v>
      </c>
      <c r="F115">
        <v>1</v>
      </c>
      <c r="G115" t="s">
        <v>2</v>
      </c>
      <c r="H115">
        <v>9</v>
      </c>
      <c r="I115">
        <v>41743</v>
      </c>
      <c r="J115">
        <v>531</v>
      </c>
      <c r="K115" t="str" cm="1">
        <f t="array" ref="K115">_xlfn.IFS(J115&lt;600,"520-599",J115&lt;650,"600-649",J115&lt;700,"650-699",J115&lt;750,"700-749",TRUE,"750+")</f>
        <v>520-599</v>
      </c>
      <c r="L115" t="str" cm="1">
        <f t="array" ref="L115">_xlfn.IFS(E115&lt;20,"1. Under 20",E115&lt;30,"2. 20-29",E115&lt;40,"3. 30-39",E115&lt;50,"4. 40-49",E115&lt;60,"5. 50-59",E115&lt;70,"6. 60-69",E115&lt;80,"7. 70-79",TRUE,"8. 80+")</f>
        <v>8. 80+</v>
      </c>
      <c r="M115" t="str">
        <f t="shared" si="1"/>
        <v>2+ years</v>
      </c>
    </row>
    <row r="116" spans="1:13" x14ac:dyDescent="0.25">
      <c r="A116" t="s">
        <v>129</v>
      </c>
      <c r="B116" t="s">
        <v>6</v>
      </c>
      <c r="C116">
        <v>34800</v>
      </c>
      <c r="D116">
        <v>10.54</v>
      </c>
      <c r="E116">
        <v>65.2</v>
      </c>
      <c r="F116">
        <v>0</v>
      </c>
      <c r="G116" t="s">
        <v>7</v>
      </c>
      <c r="H116">
        <v>24</v>
      </c>
      <c r="I116">
        <v>96156</v>
      </c>
      <c r="J116">
        <v>710</v>
      </c>
      <c r="K116" t="str" cm="1">
        <f t="array" ref="K116">_xlfn.IFS(J116&lt;600,"520-599",J116&lt;650,"600-649",J116&lt;700,"650-699",J116&lt;750,"700-749",TRUE,"750+")</f>
        <v>700-749</v>
      </c>
      <c r="L116" t="str" cm="1">
        <f t="array" ref="L116">_xlfn.IFS(E116&lt;20,"1. Under 20",E116&lt;30,"2. 20-29",E116&lt;40,"3. 30-39",E116&lt;50,"4. 40-49",E116&lt;60,"5. 50-59",E116&lt;70,"6. 60-69",E116&lt;80,"7. 70-79",TRUE,"8. 80+")</f>
        <v>6. 60-69</v>
      </c>
      <c r="M116" t="str">
        <f t="shared" si="1"/>
        <v>2+ years</v>
      </c>
    </row>
    <row r="117" spans="1:13" x14ac:dyDescent="0.25">
      <c r="A117" t="s">
        <v>130</v>
      </c>
      <c r="B117" t="s">
        <v>4</v>
      </c>
      <c r="C117">
        <v>48200</v>
      </c>
      <c r="D117">
        <v>11.12</v>
      </c>
      <c r="E117">
        <v>80.8</v>
      </c>
      <c r="F117">
        <v>0</v>
      </c>
      <c r="G117" t="s">
        <v>7</v>
      </c>
      <c r="H117">
        <v>10</v>
      </c>
      <c r="I117">
        <v>90079</v>
      </c>
      <c r="J117">
        <v>562</v>
      </c>
      <c r="K117" t="str" cm="1">
        <f t="array" ref="K117">_xlfn.IFS(J117&lt;600,"520-599",J117&lt;650,"600-649",J117&lt;700,"650-699",J117&lt;750,"700-749",TRUE,"750+")</f>
        <v>520-599</v>
      </c>
      <c r="L117" t="str" cm="1">
        <f t="array" ref="L117">_xlfn.IFS(E117&lt;20,"1. Under 20",E117&lt;30,"2. 20-29",E117&lt;40,"3. 30-39",E117&lt;50,"4. 40-49",E117&lt;60,"5. 50-59",E117&lt;70,"6. 60-69",E117&lt;80,"7. 70-79",TRUE,"8. 80+")</f>
        <v>8. 80+</v>
      </c>
      <c r="M117" t="str">
        <f t="shared" si="1"/>
        <v>2+ years</v>
      </c>
    </row>
    <row r="118" spans="1:13" x14ac:dyDescent="0.25">
      <c r="A118" t="s">
        <v>131</v>
      </c>
      <c r="B118" t="s">
        <v>9</v>
      </c>
      <c r="C118">
        <v>14100</v>
      </c>
      <c r="D118">
        <v>12.06</v>
      </c>
      <c r="E118">
        <v>32.200000000000003</v>
      </c>
      <c r="F118">
        <v>0</v>
      </c>
      <c r="G118" t="s">
        <v>2</v>
      </c>
      <c r="H118">
        <v>8</v>
      </c>
      <c r="I118">
        <v>67650</v>
      </c>
      <c r="J118">
        <v>553</v>
      </c>
      <c r="K118" t="str" cm="1">
        <f t="array" ref="K118">_xlfn.IFS(J118&lt;600,"520-599",J118&lt;650,"600-649",J118&lt;700,"650-699",J118&lt;750,"700-749",TRUE,"750+")</f>
        <v>520-599</v>
      </c>
      <c r="L118" t="str" cm="1">
        <f t="array" ref="L118">_xlfn.IFS(E118&lt;20,"1. Under 20",E118&lt;30,"2. 20-29",E118&lt;40,"3. 30-39",E118&lt;50,"4. 40-49",E118&lt;60,"5. 50-59",E118&lt;70,"6. 60-69",E118&lt;80,"7. 70-79",TRUE,"8. 80+")</f>
        <v>3. 30-39</v>
      </c>
      <c r="M118" t="str">
        <f t="shared" si="1"/>
        <v>2+ years</v>
      </c>
    </row>
    <row r="119" spans="1:13" x14ac:dyDescent="0.25">
      <c r="A119" t="s">
        <v>132</v>
      </c>
      <c r="B119" t="s">
        <v>26</v>
      </c>
      <c r="C119">
        <v>27000</v>
      </c>
      <c r="D119">
        <v>12.35</v>
      </c>
      <c r="E119">
        <v>32.6</v>
      </c>
      <c r="F119">
        <v>0</v>
      </c>
      <c r="G119" t="s">
        <v>2</v>
      </c>
      <c r="H119">
        <v>8</v>
      </c>
      <c r="I119">
        <v>67650</v>
      </c>
      <c r="J119">
        <v>553</v>
      </c>
      <c r="K119" t="str" cm="1">
        <f t="array" ref="K119">_xlfn.IFS(J119&lt;600,"520-599",J119&lt;650,"600-649",J119&lt;700,"650-699",J119&lt;750,"700-749",TRUE,"750+")</f>
        <v>520-599</v>
      </c>
      <c r="L119" t="str" cm="1">
        <f t="array" ref="L119">_xlfn.IFS(E119&lt;20,"1. Under 20",E119&lt;30,"2. 20-29",E119&lt;40,"3. 30-39",E119&lt;50,"4. 40-49",E119&lt;60,"5. 50-59",E119&lt;70,"6. 60-69",E119&lt;80,"7. 70-79",TRUE,"8. 80+")</f>
        <v>3. 30-39</v>
      </c>
      <c r="M119" t="str">
        <f t="shared" si="1"/>
        <v>2+ years</v>
      </c>
    </row>
    <row r="120" spans="1:13" x14ac:dyDescent="0.25">
      <c r="A120" t="s">
        <v>133</v>
      </c>
      <c r="B120" t="s">
        <v>17</v>
      </c>
      <c r="C120">
        <v>10300</v>
      </c>
      <c r="D120">
        <v>11.29</v>
      </c>
      <c r="E120">
        <v>61.8</v>
      </c>
      <c r="F120">
        <v>1</v>
      </c>
      <c r="G120" t="s">
        <v>10</v>
      </c>
      <c r="H120">
        <v>13</v>
      </c>
      <c r="I120">
        <v>22940</v>
      </c>
      <c r="J120">
        <v>598</v>
      </c>
      <c r="K120" t="str" cm="1">
        <f t="array" ref="K120">_xlfn.IFS(J120&lt;600,"520-599",J120&lt;650,"600-649",J120&lt;700,"650-699",J120&lt;750,"700-749",TRUE,"750+")</f>
        <v>520-599</v>
      </c>
      <c r="L120" t="str" cm="1">
        <f t="array" ref="L120">_xlfn.IFS(E120&lt;20,"1. Under 20",E120&lt;30,"2. 20-29",E120&lt;40,"3. 30-39",E120&lt;50,"4. 40-49",E120&lt;60,"5. 50-59",E120&lt;70,"6. 60-69",E120&lt;80,"7. 70-79",TRUE,"8. 80+")</f>
        <v>6. 60-69</v>
      </c>
      <c r="M120" t="str">
        <f t="shared" si="1"/>
        <v>2+ years</v>
      </c>
    </row>
    <row r="121" spans="1:13" x14ac:dyDescent="0.25">
      <c r="A121" t="s">
        <v>134</v>
      </c>
      <c r="B121" t="s">
        <v>26</v>
      </c>
      <c r="C121">
        <v>42100</v>
      </c>
      <c r="D121">
        <v>11.56</v>
      </c>
      <c r="E121">
        <v>68.099999999999994</v>
      </c>
      <c r="F121">
        <v>1</v>
      </c>
      <c r="G121" t="s">
        <v>2</v>
      </c>
      <c r="H121">
        <v>17</v>
      </c>
      <c r="I121">
        <v>59422</v>
      </c>
      <c r="J121">
        <v>698</v>
      </c>
      <c r="K121" t="str" cm="1">
        <f t="array" ref="K121">_xlfn.IFS(J121&lt;600,"520-599",J121&lt;650,"600-649",J121&lt;700,"650-699",J121&lt;750,"700-749",TRUE,"750+")</f>
        <v>650-699</v>
      </c>
      <c r="L121" t="str" cm="1">
        <f t="array" ref="L121">_xlfn.IFS(E121&lt;20,"1. Under 20",E121&lt;30,"2. 20-29",E121&lt;40,"3. 30-39",E121&lt;50,"4. 40-49",E121&lt;60,"5. 50-59",E121&lt;70,"6. 60-69",E121&lt;80,"7. 70-79",TRUE,"8. 80+")</f>
        <v>6. 60-69</v>
      </c>
      <c r="M121" t="str">
        <f t="shared" si="1"/>
        <v>2+ years</v>
      </c>
    </row>
    <row r="122" spans="1:13" x14ac:dyDescent="0.25">
      <c r="A122" t="s">
        <v>135</v>
      </c>
      <c r="B122" t="s">
        <v>26</v>
      </c>
      <c r="C122">
        <v>10900</v>
      </c>
      <c r="D122">
        <v>9.31</v>
      </c>
      <c r="E122">
        <v>72.8</v>
      </c>
      <c r="F122">
        <v>0</v>
      </c>
      <c r="G122" t="s">
        <v>7</v>
      </c>
      <c r="H122">
        <v>18</v>
      </c>
      <c r="I122">
        <v>60470</v>
      </c>
      <c r="J122">
        <v>850</v>
      </c>
      <c r="K122" t="str" cm="1">
        <f t="array" ref="K122">_xlfn.IFS(J122&lt;600,"520-599",J122&lt;650,"600-649",J122&lt;700,"650-699",J122&lt;750,"700-749",TRUE,"750+")</f>
        <v>750+</v>
      </c>
      <c r="L122" t="str" cm="1">
        <f t="array" ref="L122">_xlfn.IFS(E122&lt;20,"1. Under 20",E122&lt;30,"2. 20-29",E122&lt;40,"3. 30-39",E122&lt;50,"4. 40-49",E122&lt;60,"5. 50-59",E122&lt;70,"6. 60-69",E122&lt;80,"7. 70-79",TRUE,"8. 80+")</f>
        <v>7. 70-79</v>
      </c>
      <c r="M122" t="str">
        <f t="shared" si="1"/>
        <v>2+ years</v>
      </c>
    </row>
    <row r="123" spans="1:13" x14ac:dyDescent="0.25">
      <c r="A123" t="s">
        <v>136</v>
      </c>
      <c r="B123" t="s">
        <v>9</v>
      </c>
      <c r="C123">
        <v>35200</v>
      </c>
      <c r="D123">
        <v>9.82</v>
      </c>
      <c r="E123">
        <v>42.6</v>
      </c>
      <c r="F123">
        <v>1</v>
      </c>
      <c r="G123" t="s">
        <v>7</v>
      </c>
      <c r="H123">
        <v>1</v>
      </c>
      <c r="I123">
        <v>68874</v>
      </c>
      <c r="J123">
        <v>688</v>
      </c>
      <c r="K123" t="str" cm="1">
        <f t="array" ref="K123">_xlfn.IFS(J123&lt;600,"520-599",J123&lt;650,"600-649",J123&lt;700,"650-699",J123&lt;750,"700-749",TRUE,"750+")</f>
        <v>650-699</v>
      </c>
      <c r="L123" t="str" cm="1">
        <f t="array" ref="L123">_xlfn.IFS(E123&lt;20,"1. Under 20",E123&lt;30,"2. 20-29",E123&lt;40,"3. 30-39",E123&lt;50,"4. 40-49",E123&lt;60,"5. 50-59",E123&lt;70,"6. 60-69",E123&lt;80,"7. 70-79",TRUE,"8. 80+")</f>
        <v>4. 40-49</v>
      </c>
      <c r="M123" t="str">
        <f t="shared" si="1"/>
        <v>Under 2 years</v>
      </c>
    </row>
    <row r="124" spans="1:13" x14ac:dyDescent="0.25">
      <c r="A124" t="s">
        <v>137</v>
      </c>
      <c r="B124" t="s">
        <v>13</v>
      </c>
      <c r="C124">
        <v>14400</v>
      </c>
      <c r="D124">
        <v>10.52</v>
      </c>
      <c r="E124">
        <v>49.3</v>
      </c>
      <c r="F124">
        <v>0</v>
      </c>
      <c r="G124" t="s">
        <v>7</v>
      </c>
      <c r="H124">
        <v>5</v>
      </c>
      <c r="I124">
        <v>42320</v>
      </c>
      <c r="J124">
        <v>622</v>
      </c>
      <c r="K124" t="str" cm="1">
        <f t="array" ref="K124">_xlfn.IFS(J124&lt;600,"520-599",J124&lt;650,"600-649",J124&lt;700,"650-699",J124&lt;750,"700-749",TRUE,"750+")</f>
        <v>600-649</v>
      </c>
      <c r="L124" t="str" cm="1">
        <f t="array" ref="L124">_xlfn.IFS(E124&lt;20,"1. Under 20",E124&lt;30,"2. 20-29",E124&lt;40,"3. 30-39",E124&lt;50,"4. 40-49",E124&lt;60,"5. 50-59",E124&lt;70,"6. 60-69",E124&lt;80,"7. 70-79",TRUE,"8. 80+")</f>
        <v>4. 40-49</v>
      </c>
      <c r="M124" t="str">
        <f t="shared" si="1"/>
        <v>2+ years</v>
      </c>
    </row>
    <row r="125" spans="1:13" x14ac:dyDescent="0.25">
      <c r="A125" t="s">
        <v>138</v>
      </c>
      <c r="B125" t="s">
        <v>1</v>
      </c>
      <c r="C125">
        <v>8000</v>
      </c>
      <c r="D125">
        <v>6.93</v>
      </c>
      <c r="E125">
        <v>52.7</v>
      </c>
      <c r="F125">
        <v>0</v>
      </c>
      <c r="G125" t="s">
        <v>23</v>
      </c>
      <c r="H125">
        <v>8</v>
      </c>
      <c r="I125">
        <v>30477</v>
      </c>
      <c r="J125">
        <v>850</v>
      </c>
      <c r="K125" t="str" cm="1">
        <f t="array" ref="K125">_xlfn.IFS(J125&lt;600,"520-599",J125&lt;650,"600-649",J125&lt;700,"650-699",J125&lt;750,"700-749",TRUE,"750+")</f>
        <v>750+</v>
      </c>
      <c r="L125" t="str" cm="1">
        <f t="array" ref="L125">_xlfn.IFS(E125&lt;20,"1. Under 20",E125&lt;30,"2. 20-29",E125&lt;40,"3. 30-39",E125&lt;50,"4. 40-49",E125&lt;60,"5. 50-59",E125&lt;70,"6. 60-69",E125&lt;80,"7. 70-79",TRUE,"8. 80+")</f>
        <v>5. 50-59</v>
      </c>
      <c r="M125" t="str">
        <f t="shared" si="1"/>
        <v>2+ years</v>
      </c>
    </row>
    <row r="126" spans="1:13" x14ac:dyDescent="0.25">
      <c r="A126" t="s">
        <v>139</v>
      </c>
      <c r="B126" t="s">
        <v>26</v>
      </c>
      <c r="C126">
        <v>39300</v>
      </c>
      <c r="D126">
        <v>12.63</v>
      </c>
      <c r="E126">
        <v>88.9</v>
      </c>
      <c r="F126">
        <v>0</v>
      </c>
      <c r="G126" t="s">
        <v>7</v>
      </c>
      <c r="H126">
        <v>18</v>
      </c>
      <c r="I126">
        <v>68782</v>
      </c>
      <c r="J126">
        <v>711</v>
      </c>
      <c r="K126" t="str" cm="1">
        <f t="array" ref="K126">_xlfn.IFS(J126&lt;600,"520-599",J126&lt;650,"600-649",J126&lt;700,"650-699",J126&lt;750,"700-749",TRUE,"750+")</f>
        <v>700-749</v>
      </c>
      <c r="L126" t="str" cm="1">
        <f t="array" ref="L126">_xlfn.IFS(E126&lt;20,"1. Under 20",E126&lt;30,"2. 20-29",E126&lt;40,"3. 30-39",E126&lt;50,"4. 40-49",E126&lt;60,"5. 50-59",E126&lt;70,"6. 60-69",E126&lt;80,"7. 70-79",TRUE,"8. 80+")</f>
        <v>8. 80+</v>
      </c>
      <c r="M126" t="str">
        <f t="shared" si="1"/>
        <v>2+ years</v>
      </c>
    </row>
    <row r="127" spans="1:13" x14ac:dyDescent="0.25">
      <c r="A127" t="s">
        <v>140</v>
      </c>
      <c r="B127" t="s">
        <v>15</v>
      </c>
      <c r="C127">
        <v>40800</v>
      </c>
      <c r="D127">
        <v>9.25</v>
      </c>
      <c r="E127">
        <v>65.900000000000006</v>
      </c>
      <c r="F127">
        <v>0</v>
      </c>
      <c r="G127" t="s">
        <v>7</v>
      </c>
      <c r="H127">
        <v>12</v>
      </c>
      <c r="I127">
        <v>39408</v>
      </c>
      <c r="J127">
        <v>646</v>
      </c>
      <c r="K127" t="str" cm="1">
        <f t="array" ref="K127">_xlfn.IFS(J127&lt;600,"520-599",J127&lt;650,"600-649",J127&lt;700,"650-699",J127&lt;750,"700-749",TRUE,"750+")</f>
        <v>600-649</v>
      </c>
      <c r="L127" t="str" cm="1">
        <f t="array" ref="L127">_xlfn.IFS(E127&lt;20,"1. Under 20",E127&lt;30,"2. 20-29",E127&lt;40,"3. 30-39",E127&lt;50,"4. 40-49",E127&lt;60,"5. 50-59",E127&lt;70,"6. 60-69",E127&lt;80,"7. 70-79",TRUE,"8. 80+")</f>
        <v>6. 60-69</v>
      </c>
      <c r="M127" t="str">
        <f t="shared" si="1"/>
        <v>2+ years</v>
      </c>
    </row>
    <row r="128" spans="1:13" x14ac:dyDescent="0.25">
      <c r="A128" t="s">
        <v>141</v>
      </c>
      <c r="B128" t="s">
        <v>17</v>
      </c>
      <c r="C128">
        <v>2200</v>
      </c>
      <c r="D128">
        <v>6.79</v>
      </c>
      <c r="E128">
        <v>50.9</v>
      </c>
      <c r="F128">
        <v>0</v>
      </c>
      <c r="G128" t="s">
        <v>2</v>
      </c>
      <c r="H128">
        <v>0</v>
      </c>
      <c r="I128">
        <v>95183</v>
      </c>
      <c r="J128">
        <v>829</v>
      </c>
      <c r="K128" t="str" cm="1">
        <f t="array" ref="K128">_xlfn.IFS(J128&lt;600,"520-599",J128&lt;650,"600-649",J128&lt;700,"650-699",J128&lt;750,"700-749",TRUE,"750+")</f>
        <v>750+</v>
      </c>
      <c r="L128" t="str" cm="1">
        <f t="array" ref="L128">_xlfn.IFS(E128&lt;20,"1. Under 20",E128&lt;30,"2. 20-29",E128&lt;40,"3. 30-39",E128&lt;50,"4. 40-49",E128&lt;60,"5. 50-59",E128&lt;70,"6. 60-69",E128&lt;80,"7. 70-79",TRUE,"8. 80+")</f>
        <v>5. 50-59</v>
      </c>
      <c r="M128" t="str">
        <f t="shared" si="1"/>
        <v>Under 2 years</v>
      </c>
    </row>
    <row r="129" spans="1:13" x14ac:dyDescent="0.25">
      <c r="A129" t="s">
        <v>142</v>
      </c>
      <c r="B129" t="s">
        <v>17</v>
      </c>
      <c r="C129">
        <v>43000</v>
      </c>
      <c r="D129">
        <v>6.59</v>
      </c>
      <c r="E129">
        <v>66.8</v>
      </c>
      <c r="F129">
        <v>0</v>
      </c>
      <c r="G129" t="s">
        <v>2</v>
      </c>
      <c r="H129">
        <v>0</v>
      </c>
      <c r="I129">
        <v>95183</v>
      </c>
      <c r="J129">
        <v>829</v>
      </c>
      <c r="K129" t="str" cm="1">
        <f t="array" ref="K129">_xlfn.IFS(J129&lt;600,"520-599",J129&lt;650,"600-649",J129&lt;700,"650-699",J129&lt;750,"700-749",TRUE,"750+")</f>
        <v>750+</v>
      </c>
      <c r="L129" t="str" cm="1">
        <f t="array" ref="L129">_xlfn.IFS(E129&lt;20,"1. Under 20",E129&lt;30,"2. 20-29",E129&lt;40,"3. 30-39",E129&lt;50,"4. 40-49",E129&lt;60,"5. 50-59",E129&lt;70,"6. 60-69",E129&lt;80,"7. 70-79",TRUE,"8. 80+")</f>
        <v>6. 60-69</v>
      </c>
      <c r="M129" t="str">
        <f t="shared" si="1"/>
        <v>Under 2 years</v>
      </c>
    </row>
    <row r="130" spans="1:13" x14ac:dyDescent="0.25">
      <c r="A130" t="s">
        <v>143</v>
      </c>
      <c r="B130" t="s">
        <v>4</v>
      </c>
      <c r="C130">
        <v>16300</v>
      </c>
      <c r="D130">
        <v>13.45</v>
      </c>
      <c r="E130">
        <v>45.3</v>
      </c>
      <c r="F130">
        <v>0</v>
      </c>
      <c r="G130" t="s">
        <v>7</v>
      </c>
      <c r="H130">
        <v>20</v>
      </c>
      <c r="I130">
        <v>123405</v>
      </c>
      <c r="J130">
        <v>662</v>
      </c>
      <c r="K130" t="str" cm="1">
        <f t="array" ref="K130">_xlfn.IFS(J130&lt;600,"520-599",J130&lt;650,"600-649",J130&lt;700,"650-699",J130&lt;750,"700-749",TRUE,"750+")</f>
        <v>650-699</v>
      </c>
      <c r="L130" t="str" cm="1">
        <f t="array" ref="L130">_xlfn.IFS(E130&lt;20,"1. Under 20",E130&lt;30,"2. 20-29",E130&lt;40,"3. 30-39",E130&lt;50,"4. 40-49",E130&lt;60,"5. 50-59",E130&lt;70,"6. 60-69",E130&lt;80,"7. 70-79",TRUE,"8. 80+")</f>
        <v>4. 40-49</v>
      </c>
      <c r="M130" t="str">
        <f t="shared" si="1"/>
        <v>2+ years</v>
      </c>
    </row>
    <row r="131" spans="1:13" x14ac:dyDescent="0.25">
      <c r="A131" t="s">
        <v>144</v>
      </c>
      <c r="B131" t="s">
        <v>21</v>
      </c>
      <c r="C131">
        <v>18500</v>
      </c>
      <c r="D131">
        <v>7.03</v>
      </c>
      <c r="E131">
        <v>32.6</v>
      </c>
      <c r="F131">
        <v>1</v>
      </c>
      <c r="G131" t="s">
        <v>7</v>
      </c>
      <c r="H131">
        <v>2</v>
      </c>
      <c r="I131">
        <v>46799</v>
      </c>
      <c r="J131">
        <v>850</v>
      </c>
      <c r="K131" t="str" cm="1">
        <f t="array" ref="K131">_xlfn.IFS(J131&lt;600,"520-599",J131&lt;650,"600-649",J131&lt;700,"650-699",J131&lt;750,"700-749",TRUE,"750+")</f>
        <v>750+</v>
      </c>
      <c r="L131" t="str" cm="1">
        <f t="array" ref="L131">_xlfn.IFS(E131&lt;20,"1. Under 20",E131&lt;30,"2. 20-29",E131&lt;40,"3. 30-39",E131&lt;50,"4. 40-49",E131&lt;60,"5. 50-59",E131&lt;70,"6. 60-69",E131&lt;80,"7. 70-79",TRUE,"8. 80+")</f>
        <v>3. 30-39</v>
      </c>
      <c r="M131" t="str">
        <f t="shared" ref="M131:M194" si="2">IF(H131&lt;2,"Under 2 years","2+ years")</f>
        <v>2+ years</v>
      </c>
    </row>
    <row r="132" spans="1:13" x14ac:dyDescent="0.25">
      <c r="A132" t="s">
        <v>145</v>
      </c>
      <c r="B132" t="s">
        <v>1</v>
      </c>
      <c r="C132">
        <v>38600</v>
      </c>
      <c r="D132">
        <v>14.52</v>
      </c>
      <c r="E132">
        <v>49.5</v>
      </c>
      <c r="F132">
        <v>1</v>
      </c>
      <c r="G132" t="s">
        <v>7</v>
      </c>
      <c r="H132">
        <v>3</v>
      </c>
      <c r="I132">
        <v>48711</v>
      </c>
      <c r="J132">
        <v>619</v>
      </c>
      <c r="K132" t="str" cm="1">
        <f t="array" ref="K132">_xlfn.IFS(J132&lt;600,"520-599",J132&lt;650,"600-649",J132&lt;700,"650-699",J132&lt;750,"700-749",TRUE,"750+")</f>
        <v>600-649</v>
      </c>
      <c r="L132" t="str" cm="1">
        <f t="array" ref="L132">_xlfn.IFS(E132&lt;20,"1. Under 20",E132&lt;30,"2. 20-29",E132&lt;40,"3. 30-39",E132&lt;50,"4. 40-49",E132&lt;60,"5. 50-59",E132&lt;70,"6. 60-69",E132&lt;80,"7. 70-79",TRUE,"8. 80+")</f>
        <v>4. 40-49</v>
      </c>
      <c r="M132" t="str">
        <f t="shared" si="2"/>
        <v>2+ years</v>
      </c>
    </row>
    <row r="133" spans="1:13" x14ac:dyDescent="0.25">
      <c r="A133" t="s">
        <v>146</v>
      </c>
      <c r="B133" t="s">
        <v>21</v>
      </c>
      <c r="C133">
        <v>12200</v>
      </c>
      <c r="D133">
        <v>9.2799999999999994</v>
      </c>
      <c r="E133">
        <v>32.4</v>
      </c>
      <c r="F133">
        <v>0</v>
      </c>
      <c r="G133" t="s">
        <v>10</v>
      </c>
      <c r="H133">
        <v>18</v>
      </c>
      <c r="I133">
        <v>76648</v>
      </c>
      <c r="J133">
        <v>781</v>
      </c>
      <c r="K133" t="str" cm="1">
        <f t="array" ref="K133">_xlfn.IFS(J133&lt;600,"520-599",J133&lt;650,"600-649",J133&lt;700,"650-699",J133&lt;750,"700-749",TRUE,"750+")</f>
        <v>750+</v>
      </c>
      <c r="L133" t="str" cm="1">
        <f t="array" ref="L133">_xlfn.IFS(E133&lt;20,"1. Under 20",E133&lt;30,"2. 20-29",E133&lt;40,"3. 30-39",E133&lt;50,"4. 40-49",E133&lt;60,"5. 50-59",E133&lt;70,"6. 60-69",E133&lt;80,"7. 70-79",TRUE,"8. 80+")</f>
        <v>3. 30-39</v>
      </c>
      <c r="M133" t="str">
        <f t="shared" si="2"/>
        <v>2+ years</v>
      </c>
    </row>
    <row r="134" spans="1:13" x14ac:dyDescent="0.25">
      <c r="A134" t="s">
        <v>147</v>
      </c>
      <c r="B134" t="s">
        <v>1</v>
      </c>
      <c r="C134">
        <v>17200</v>
      </c>
      <c r="D134">
        <v>8.1</v>
      </c>
      <c r="E134">
        <v>38</v>
      </c>
      <c r="F134">
        <v>1</v>
      </c>
      <c r="G134" t="s">
        <v>29</v>
      </c>
      <c r="H134">
        <v>6</v>
      </c>
      <c r="I134">
        <v>31605</v>
      </c>
      <c r="J134">
        <v>728</v>
      </c>
      <c r="K134" t="str" cm="1">
        <f t="array" ref="K134">_xlfn.IFS(J134&lt;600,"520-599",J134&lt;650,"600-649",J134&lt;700,"650-699",J134&lt;750,"700-749",TRUE,"750+")</f>
        <v>700-749</v>
      </c>
      <c r="L134" t="str" cm="1">
        <f t="array" ref="L134">_xlfn.IFS(E134&lt;20,"1. Under 20",E134&lt;30,"2. 20-29",E134&lt;40,"3. 30-39",E134&lt;50,"4. 40-49",E134&lt;60,"5. 50-59",E134&lt;70,"6. 60-69",E134&lt;80,"7. 70-79",TRUE,"8. 80+")</f>
        <v>3. 30-39</v>
      </c>
      <c r="M134" t="str">
        <f t="shared" si="2"/>
        <v>2+ years</v>
      </c>
    </row>
    <row r="135" spans="1:13" x14ac:dyDescent="0.25">
      <c r="A135" t="s">
        <v>148</v>
      </c>
      <c r="B135" t="s">
        <v>17</v>
      </c>
      <c r="C135">
        <v>10200</v>
      </c>
      <c r="D135">
        <v>9.09</v>
      </c>
      <c r="E135">
        <v>13.5</v>
      </c>
      <c r="F135">
        <v>1</v>
      </c>
      <c r="G135" t="s">
        <v>7</v>
      </c>
      <c r="H135">
        <v>18</v>
      </c>
      <c r="I135">
        <v>83526</v>
      </c>
      <c r="J135">
        <v>674</v>
      </c>
      <c r="K135" t="str" cm="1">
        <f t="array" ref="K135">_xlfn.IFS(J135&lt;600,"520-599",J135&lt;650,"600-649",J135&lt;700,"650-699",J135&lt;750,"700-749",TRUE,"750+")</f>
        <v>650-699</v>
      </c>
      <c r="L135" t="str" cm="1">
        <f t="array" ref="L135">_xlfn.IFS(E135&lt;20,"1. Under 20",E135&lt;30,"2. 20-29",E135&lt;40,"3. 30-39",E135&lt;50,"4. 40-49",E135&lt;60,"5. 50-59",E135&lt;70,"6. 60-69",E135&lt;80,"7. 70-79",TRUE,"8. 80+")</f>
        <v>1. Under 20</v>
      </c>
      <c r="M135" t="str">
        <f t="shared" si="2"/>
        <v>2+ years</v>
      </c>
    </row>
    <row r="136" spans="1:13" x14ac:dyDescent="0.25">
      <c r="A136" t="s">
        <v>149</v>
      </c>
      <c r="B136" t="s">
        <v>17</v>
      </c>
      <c r="C136">
        <v>22500</v>
      </c>
      <c r="D136">
        <v>10.39</v>
      </c>
      <c r="E136">
        <v>18.7</v>
      </c>
      <c r="F136">
        <v>0</v>
      </c>
      <c r="G136" t="s">
        <v>7</v>
      </c>
      <c r="H136">
        <v>18</v>
      </c>
      <c r="I136">
        <v>83526</v>
      </c>
      <c r="J136">
        <v>674</v>
      </c>
      <c r="K136" t="str" cm="1">
        <f t="array" ref="K136">_xlfn.IFS(J136&lt;600,"520-599",J136&lt;650,"600-649",J136&lt;700,"650-699",J136&lt;750,"700-749",TRUE,"750+")</f>
        <v>650-699</v>
      </c>
      <c r="L136" t="str" cm="1">
        <f t="array" ref="L136">_xlfn.IFS(E136&lt;20,"1. Under 20",E136&lt;30,"2. 20-29",E136&lt;40,"3. 30-39",E136&lt;50,"4. 40-49",E136&lt;60,"5. 50-59",E136&lt;70,"6. 60-69",E136&lt;80,"7. 70-79",TRUE,"8. 80+")</f>
        <v>1. Under 20</v>
      </c>
      <c r="M136" t="str">
        <f t="shared" si="2"/>
        <v>2+ years</v>
      </c>
    </row>
    <row r="137" spans="1:13" x14ac:dyDescent="0.25">
      <c r="A137" t="s">
        <v>150</v>
      </c>
      <c r="B137" t="s">
        <v>15</v>
      </c>
      <c r="C137">
        <v>6500</v>
      </c>
      <c r="D137">
        <v>12.17</v>
      </c>
      <c r="E137">
        <v>57.1</v>
      </c>
      <c r="F137">
        <v>0</v>
      </c>
      <c r="G137" t="s">
        <v>23</v>
      </c>
      <c r="H137">
        <v>7</v>
      </c>
      <c r="I137">
        <v>55425</v>
      </c>
      <c r="J137">
        <v>697</v>
      </c>
      <c r="K137" t="str" cm="1">
        <f t="array" ref="K137">_xlfn.IFS(J137&lt;600,"520-599",J137&lt;650,"600-649",J137&lt;700,"650-699",J137&lt;750,"700-749",TRUE,"750+")</f>
        <v>650-699</v>
      </c>
      <c r="L137" t="str" cm="1">
        <f t="array" ref="L137">_xlfn.IFS(E137&lt;20,"1. Under 20",E137&lt;30,"2. 20-29",E137&lt;40,"3. 30-39",E137&lt;50,"4. 40-49",E137&lt;60,"5. 50-59",E137&lt;70,"6. 60-69",E137&lt;80,"7. 70-79",TRUE,"8. 80+")</f>
        <v>5. 50-59</v>
      </c>
      <c r="M137" t="str">
        <f t="shared" si="2"/>
        <v>2+ years</v>
      </c>
    </row>
    <row r="138" spans="1:13" x14ac:dyDescent="0.25">
      <c r="A138" t="s">
        <v>151</v>
      </c>
      <c r="B138" t="s">
        <v>21</v>
      </c>
      <c r="C138">
        <v>16200</v>
      </c>
      <c r="D138">
        <v>12.73</v>
      </c>
      <c r="E138">
        <v>59.5</v>
      </c>
      <c r="F138">
        <v>1</v>
      </c>
      <c r="G138" t="s">
        <v>7</v>
      </c>
      <c r="H138">
        <v>9</v>
      </c>
      <c r="I138">
        <v>43493</v>
      </c>
      <c r="J138">
        <v>549</v>
      </c>
      <c r="K138" t="str" cm="1">
        <f t="array" ref="K138">_xlfn.IFS(J138&lt;600,"520-599",J138&lt;650,"600-649",J138&lt;700,"650-699",J138&lt;750,"700-749",TRUE,"750+")</f>
        <v>520-599</v>
      </c>
      <c r="L138" t="str" cm="1">
        <f t="array" ref="L138">_xlfn.IFS(E138&lt;20,"1. Under 20",E138&lt;30,"2. 20-29",E138&lt;40,"3. 30-39",E138&lt;50,"4. 40-49",E138&lt;60,"5. 50-59",E138&lt;70,"6. 60-69",E138&lt;80,"7. 70-79",TRUE,"8. 80+")</f>
        <v>5. 50-59</v>
      </c>
      <c r="M138" t="str">
        <f t="shared" si="2"/>
        <v>2+ years</v>
      </c>
    </row>
    <row r="139" spans="1:13" x14ac:dyDescent="0.25">
      <c r="A139" t="s">
        <v>152</v>
      </c>
      <c r="B139" t="s">
        <v>17</v>
      </c>
      <c r="C139">
        <v>4000</v>
      </c>
      <c r="D139">
        <v>14.38</v>
      </c>
      <c r="E139">
        <v>59.3</v>
      </c>
      <c r="F139">
        <v>1</v>
      </c>
      <c r="G139" t="s">
        <v>7</v>
      </c>
      <c r="H139">
        <v>9</v>
      </c>
      <c r="I139">
        <v>43493</v>
      </c>
      <c r="J139">
        <v>549</v>
      </c>
      <c r="K139" t="str" cm="1">
        <f t="array" ref="K139">_xlfn.IFS(J139&lt;600,"520-599",J139&lt;650,"600-649",J139&lt;700,"650-699",J139&lt;750,"700-749",TRUE,"750+")</f>
        <v>520-599</v>
      </c>
      <c r="L139" t="str" cm="1">
        <f t="array" ref="L139">_xlfn.IFS(E139&lt;20,"1. Under 20",E139&lt;30,"2. 20-29",E139&lt;40,"3. 30-39",E139&lt;50,"4. 40-49",E139&lt;60,"5. 50-59",E139&lt;70,"6. 60-69",E139&lt;80,"7. 70-79",TRUE,"8. 80+")</f>
        <v>5. 50-59</v>
      </c>
      <c r="M139" t="str">
        <f t="shared" si="2"/>
        <v>2+ years</v>
      </c>
    </row>
    <row r="140" spans="1:13" x14ac:dyDescent="0.25">
      <c r="A140" t="s">
        <v>153</v>
      </c>
      <c r="B140" t="s">
        <v>19</v>
      </c>
      <c r="C140">
        <v>14400</v>
      </c>
      <c r="D140">
        <v>8.3800000000000008</v>
      </c>
      <c r="E140">
        <v>29.9</v>
      </c>
      <c r="F140">
        <v>0</v>
      </c>
      <c r="G140" t="s">
        <v>7</v>
      </c>
      <c r="H140">
        <v>6</v>
      </c>
      <c r="I140">
        <v>101170</v>
      </c>
      <c r="J140">
        <v>821</v>
      </c>
      <c r="K140" t="str" cm="1">
        <f t="array" ref="K140">_xlfn.IFS(J140&lt;600,"520-599",J140&lt;650,"600-649",J140&lt;700,"650-699",J140&lt;750,"700-749",TRUE,"750+")</f>
        <v>750+</v>
      </c>
      <c r="L140" t="str" cm="1">
        <f t="array" ref="L140">_xlfn.IFS(E140&lt;20,"1. Under 20",E140&lt;30,"2. 20-29",E140&lt;40,"3. 30-39",E140&lt;50,"4. 40-49",E140&lt;60,"5. 50-59",E140&lt;70,"6. 60-69",E140&lt;80,"7. 70-79",TRUE,"8. 80+")</f>
        <v>2. 20-29</v>
      </c>
      <c r="M140" t="str">
        <f t="shared" si="2"/>
        <v>2+ years</v>
      </c>
    </row>
    <row r="141" spans="1:13" x14ac:dyDescent="0.25">
      <c r="A141" t="s">
        <v>154</v>
      </c>
      <c r="B141" t="s">
        <v>17</v>
      </c>
      <c r="C141">
        <v>39600</v>
      </c>
      <c r="D141">
        <v>10.79</v>
      </c>
      <c r="E141">
        <v>73.400000000000006</v>
      </c>
      <c r="F141">
        <v>1</v>
      </c>
      <c r="G141" t="s">
        <v>23</v>
      </c>
      <c r="H141">
        <v>0</v>
      </c>
      <c r="I141">
        <v>74343</v>
      </c>
      <c r="J141">
        <v>678</v>
      </c>
      <c r="K141" t="str" cm="1">
        <f t="array" ref="K141">_xlfn.IFS(J141&lt;600,"520-599",J141&lt;650,"600-649",J141&lt;700,"650-699",J141&lt;750,"700-749",TRUE,"750+")</f>
        <v>650-699</v>
      </c>
      <c r="L141" t="str" cm="1">
        <f t="array" ref="L141">_xlfn.IFS(E141&lt;20,"1. Under 20",E141&lt;30,"2. 20-29",E141&lt;40,"3. 30-39",E141&lt;50,"4. 40-49",E141&lt;60,"5. 50-59",E141&lt;70,"6. 60-69",E141&lt;80,"7. 70-79",TRUE,"8. 80+")</f>
        <v>7. 70-79</v>
      </c>
      <c r="M141" t="str">
        <f t="shared" si="2"/>
        <v>Under 2 years</v>
      </c>
    </row>
    <row r="142" spans="1:13" x14ac:dyDescent="0.25">
      <c r="A142" t="s">
        <v>155</v>
      </c>
      <c r="B142" t="s">
        <v>26</v>
      </c>
      <c r="C142">
        <v>23700</v>
      </c>
      <c r="D142">
        <v>8.3699999999999992</v>
      </c>
      <c r="E142">
        <v>25.1</v>
      </c>
      <c r="F142">
        <v>0</v>
      </c>
      <c r="G142" t="s">
        <v>2</v>
      </c>
      <c r="H142">
        <v>11</v>
      </c>
      <c r="I142">
        <v>41565</v>
      </c>
      <c r="J142">
        <v>850</v>
      </c>
      <c r="K142" t="str" cm="1">
        <f t="array" ref="K142">_xlfn.IFS(J142&lt;600,"520-599",J142&lt;650,"600-649",J142&lt;700,"650-699",J142&lt;750,"700-749",TRUE,"750+")</f>
        <v>750+</v>
      </c>
      <c r="L142" t="str" cm="1">
        <f t="array" ref="L142">_xlfn.IFS(E142&lt;20,"1. Under 20",E142&lt;30,"2. 20-29",E142&lt;40,"3. 30-39",E142&lt;50,"4. 40-49",E142&lt;60,"5. 50-59",E142&lt;70,"6. 60-69",E142&lt;80,"7. 70-79",TRUE,"8. 80+")</f>
        <v>2. 20-29</v>
      </c>
      <c r="M142" t="str">
        <f t="shared" si="2"/>
        <v>2+ years</v>
      </c>
    </row>
    <row r="143" spans="1:13" x14ac:dyDescent="0.25">
      <c r="A143" t="s">
        <v>156</v>
      </c>
      <c r="B143" t="s">
        <v>19</v>
      </c>
      <c r="C143">
        <v>4400</v>
      </c>
      <c r="D143">
        <v>8.32</v>
      </c>
      <c r="E143">
        <v>14.2</v>
      </c>
      <c r="F143">
        <v>0</v>
      </c>
      <c r="G143" t="s">
        <v>2</v>
      </c>
      <c r="H143">
        <v>11</v>
      </c>
      <c r="I143">
        <v>41565</v>
      </c>
      <c r="J143">
        <v>850</v>
      </c>
      <c r="K143" t="str" cm="1">
        <f t="array" ref="K143">_xlfn.IFS(J143&lt;600,"520-599",J143&lt;650,"600-649",J143&lt;700,"650-699",J143&lt;750,"700-749",TRUE,"750+")</f>
        <v>750+</v>
      </c>
      <c r="L143" t="str" cm="1">
        <f t="array" ref="L143">_xlfn.IFS(E143&lt;20,"1. Under 20",E143&lt;30,"2. 20-29",E143&lt;40,"3. 30-39",E143&lt;50,"4. 40-49",E143&lt;60,"5. 50-59",E143&lt;70,"6. 60-69",E143&lt;80,"7. 70-79",TRUE,"8. 80+")</f>
        <v>1. Under 20</v>
      </c>
      <c r="M143" t="str">
        <f t="shared" si="2"/>
        <v>2+ years</v>
      </c>
    </row>
    <row r="144" spans="1:13" x14ac:dyDescent="0.25">
      <c r="A144" t="s">
        <v>157</v>
      </c>
      <c r="B144" t="s">
        <v>4</v>
      </c>
      <c r="C144">
        <v>17400</v>
      </c>
      <c r="D144">
        <v>11.22</v>
      </c>
      <c r="E144">
        <v>56.4</v>
      </c>
      <c r="F144">
        <v>0</v>
      </c>
      <c r="G144" t="s">
        <v>7</v>
      </c>
      <c r="H144">
        <v>3</v>
      </c>
      <c r="I144">
        <v>44910</v>
      </c>
      <c r="J144">
        <v>540</v>
      </c>
      <c r="K144" t="str" cm="1">
        <f t="array" ref="K144">_xlfn.IFS(J144&lt;600,"520-599",J144&lt;650,"600-649",J144&lt;700,"650-699",J144&lt;750,"700-749",TRUE,"750+")</f>
        <v>520-599</v>
      </c>
      <c r="L144" t="str" cm="1">
        <f t="array" ref="L144">_xlfn.IFS(E144&lt;20,"1. Under 20",E144&lt;30,"2. 20-29",E144&lt;40,"3. 30-39",E144&lt;50,"4. 40-49",E144&lt;60,"5. 50-59",E144&lt;70,"6. 60-69",E144&lt;80,"7. 70-79",TRUE,"8. 80+")</f>
        <v>5. 50-59</v>
      </c>
      <c r="M144" t="str">
        <f t="shared" si="2"/>
        <v>2+ years</v>
      </c>
    </row>
    <row r="145" spans="1:13" x14ac:dyDescent="0.25">
      <c r="A145" t="s">
        <v>158</v>
      </c>
      <c r="B145" t="s">
        <v>17</v>
      </c>
      <c r="C145">
        <v>4200</v>
      </c>
      <c r="D145">
        <v>12.38</v>
      </c>
      <c r="E145">
        <v>39.299999999999997</v>
      </c>
      <c r="F145">
        <v>0</v>
      </c>
      <c r="G145" t="s">
        <v>2</v>
      </c>
      <c r="H145">
        <v>7</v>
      </c>
      <c r="I145">
        <v>29691</v>
      </c>
      <c r="J145">
        <v>635</v>
      </c>
      <c r="K145" t="str" cm="1">
        <f t="array" ref="K145">_xlfn.IFS(J145&lt;600,"520-599",J145&lt;650,"600-649",J145&lt;700,"650-699",J145&lt;750,"700-749",TRUE,"750+")</f>
        <v>600-649</v>
      </c>
      <c r="L145" t="str" cm="1">
        <f t="array" ref="L145">_xlfn.IFS(E145&lt;20,"1. Under 20",E145&lt;30,"2. 20-29",E145&lt;40,"3. 30-39",E145&lt;50,"4. 40-49",E145&lt;60,"5. 50-59",E145&lt;70,"6. 60-69",E145&lt;80,"7. 70-79",TRUE,"8. 80+")</f>
        <v>3. 30-39</v>
      </c>
      <c r="M145" t="str">
        <f t="shared" si="2"/>
        <v>2+ years</v>
      </c>
    </row>
    <row r="146" spans="1:13" x14ac:dyDescent="0.25">
      <c r="A146" t="s">
        <v>159</v>
      </c>
      <c r="B146" t="s">
        <v>17</v>
      </c>
      <c r="C146">
        <v>6300</v>
      </c>
      <c r="D146">
        <v>13.3</v>
      </c>
      <c r="E146">
        <v>8.8000000000000007</v>
      </c>
      <c r="F146">
        <v>0</v>
      </c>
      <c r="G146" t="s">
        <v>7</v>
      </c>
      <c r="H146">
        <v>5</v>
      </c>
      <c r="I146">
        <v>65753</v>
      </c>
      <c r="J146">
        <v>663</v>
      </c>
      <c r="K146" t="str" cm="1">
        <f t="array" ref="K146">_xlfn.IFS(J146&lt;600,"520-599",J146&lt;650,"600-649",J146&lt;700,"650-699",J146&lt;750,"700-749",TRUE,"750+")</f>
        <v>650-699</v>
      </c>
      <c r="L146" t="str" cm="1">
        <f t="array" ref="L146">_xlfn.IFS(E146&lt;20,"1. Under 20",E146&lt;30,"2. 20-29",E146&lt;40,"3. 30-39",E146&lt;50,"4. 40-49",E146&lt;60,"5. 50-59",E146&lt;70,"6. 60-69",E146&lt;80,"7. 70-79",TRUE,"8. 80+")</f>
        <v>1. Under 20</v>
      </c>
      <c r="M146" t="str">
        <f t="shared" si="2"/>
        <v>2+ years</v>
      </c>
    </row>
    <row r="147" spans="1:13" x14ac:dyDescent="0.25">
      <c r="A147" t="s">
        <v>160</v>
      </c>
      <c r="B147" t="s">
        <v>4</v>
      </c>
      <c r="C147">
        <v>25400</v>
      </c>
      <c r="D147">
        <v>10.99</v>
      </c>
      <c r="E147">
        <v>41.1</v>
      </c>
      <c r="F147">
        <v>1</v>
      </c>
      <c r="G147" t="s">
        <v>7</v>
      </c>
      <c r="H147">
        <v>13</v>
      </c>
      <c r="I147">
        <v>57530</v>
      </c>
      <c r="J147">
        <v>594</v>
      </c>
      <c r="K147" t="str" cm="1">
        <f t="array" ref="K147">_xlfn.IFS(J147&lt;600,"520-599",J147&lt;650,"600-649",J147&lt;700,"650-699",J147&lt;750,"700-749",TRUE,"750+")</f>
        <v>520-599</v>
      </c>
      <c r="L147" t="str" cm="1">
        <f t="array" ref="L147">_xlfn.IFS(E147&lt;20,"1. Under 20",E147&lt;30,"2. 20-29",E147&lt;40,"3. 30-39",E147&lt;50,"4. 40-49",E147&lt;60,"5. 50-59",E147&lt;70,"6. 60-69",E147&lt;80,"7. 70-79",TRUE,"8. 80+")</f>
        <v>4. 40-49</v>
      </c>
      <c r="M147" t="str">
        <f t="shared" si="2"/>
        <v>2+ years</v>
      </c>
    </row>
    <row r="148" spans="1:13" x14ac:dyDescent="0.25">
      <c r="A148" t="s">
        <v>161</v>
      </c>
      <c r="B148" t="s">
        <v>9</v>
      </c>
      <c r="C148">
        <v>6800</v>
      </c>
      <c r="D148">
        <v>6.15</v>
      </c>
      <c r="E148">
        <v>33.200000000000003</v>
      </c>
      <c r="F148">
        <v>1</v>
      </c>
      <c r="G148" t="s">
        <v>7</v>
      </c>
      <c r="H148">
        <v>1</v>
      </c>
      <c r="I148">
        <v>72744</v>
      </c>
      <c r="J148">
        <v>849</v>
      </c>
      <c r="K148" t="str" cm="1">
        <f t="array" ref="K148">_xlfn.IFS(J148&lt;600,"520-599",J148&lt;650,"600-649",J148&lt;700,"650-699",J148&lt;750,"700-749",TRUE,"750+")</f>
        <v>750+</v>
      </c>
      <c r="L148" t="str" cm="1">
        <f t="array" ref="L148">_xlfn.IFS(E148&lt;20,"1. Under 20",E148&lt;30,"2. 20-29",E148&lt;40,"3. 30-39",E148&lt;50,"4. 40-49",E148&lt;60,"5. 50-59",E148&lt;70,"6. 60-69",E148&lt;80,"7. 70-79",TRUE,"8. 80+")</f>
        <v>3. 30-39</v>
      </c>
      <c r="M148" t="str">
        <f t="shared" si="2"/>
        <v>Under 2 years</v>
      </c>
    </row>
    <row r="149" spans="1:13" x14ac:dyDescent="0.25">
      <c r="A149" t="s">
        <v>162</v>
      </c>
      <c r="B149" t="s">
        <v>15</v>
      </c>
      <c r="C149">
        <v>12600</v>
      </c>
      <c r="D149">
        <v>10.52</v>
      </c>
      <c r="E149">
        <v>31.9</v>
      </c>
      <c r="F149">
        <v>0</v>
      </c>
      <c r="G149" t="s">
        <v>7</v>
      </c>
      <c r="H149">
        <v>27</v>
      </c>
      <c r="I149">
        <v>104309</v>
      </c>
      <c r="J149">
        <v>750</v>
      </c>
      <c r="K149" t="str" cm="1">
        <f t="array" ref="K149">_xlfn.IFS(J149&lt;600,"520-599",J149&lt;650,"600-649",J149&lt;700,"650-699",J149&lt;750,"700-749",TRUE,"750+")</f>
        <v>750+</v>
      </c>
      <c r="L149" t="str" cm="1">
        <f t="array" ref="L149">_xlfn.IFS(E149&lt;20,"1. Under 20",E149&lt;30,"2. 20-29",E149&lt;40,"3. 30-39",E149&lt;50,"4. 40-49",E149&lt;60,"5. 50-59",E149&lt;70,"6. 60-69",E149&lt;80,"7. 70-79",TRUE,"8. 80+")</f>
        <v>3. 30-39</v>
      </c>
      <c r="M149" t="str">
        <f t="shared" si="2"/>
        <v>2+ years</v>
      </c>
    </row>
    <row r="150" spans="1:13" x14ac:dyDescent="0.25">
      <c r="A150" t="s">
        <v>163</v>
      </c>
      <c r="B150" t="s">
        <v>6</v>
      </c>
      <c r="C150">
        <v>31100</v>
      </c>
      <c r="D150">
        <v>8.3000000000000007</v>
      </c>
      <c r="E150">
        <v>49.3</v>
      </c>
      <c r="F150">
        <v>0</v>
      </c>
      <c r="G150" t="s">
        <v>7</v>
      </c>
      <c r="H150">
        <v>5</v>
      </c>
      <c r="I150">
        <v>35230</v>
      </c>
      <c r="J150">
        <v>844</v>
      </c>
      <c r="K150" t="str" cm="1">
        <f t="array" ref="K150">_xlfn.IFS(J150&lt;600,"520-599",J150&lt;650,"600-649",J150&lt;700,"650-699",J150&lt;750,"700-749",TRUE,"750+")</f>
        <v>750+</v>
      </c>
      <c r="L150" t="str" cm="1">
        <f t="array" ref="L150">_xlfn.IFS(E150&lt;20,"1. Under 20",E150&lt;30,"2. 20-29",E150&lt;40,"3. 30-39",E150&lt;50,"4. 40-49",E150&lt;60,"5. 50-59",E150&lt;70,"6. 60-69",E150&lt;80,"7. 70-79",TRUE,"8. 80+")</f>
        <v>4. 40-49</v>
      </c>
      <c r="M150" t="str">
        <f t="shared" si="2"/>
        <v>2+ years</v>
      </c>
    </row>
    <row r="151" spans="1:13" x14ac:dyDescent="0.25">
      <c r="A151" t="s">
        <v>164</v>
      </c>
      <c r="B151" t="s">
        <v>13</v>
      </c>
      <c r="C151">
        <v>10300</v>
      </c>
      <c r="D151">
        <v>11.2</v>
      </c>
      <c r="E151">
        <v>27.6</v>
      </c>
      <c r="F151">
        <v>0</v>
      </c>
      <c r="G151" t="s">
        <v>2</v>
      </c>
      <c r="H151">
        <v>13</v>
      </c>
      <c r="I151">
        <v>47899</v>
      </c>
      <c r="J151">
        <v>812</v>
      </c>
      <c r="K151" t="str" cm="1">
        <f t="array" ref="K151">_xlfn.IFS(J151&lt;600,"520-599",J151&lt;650,"600-649",J151&lt;700,"650-699",J151&lt;750,"700-749",TRUE,"750+")</f>
        <v>750+</v>
      </c>
      <c r="L151" t="str" cm="1">
        <f t="array" ref="L151">_xlfn.IFS(E151&lt;20,"1. Under 20",E151&lt;30,"2. 20-29",E151&lt;40,"3. 30-39",E151&lt;50,"4. 40-49",E151&lt;60,"5. 50-59",E151&lt;70,"6. 60-69",E151&lt;80,"7. 70-79",TRUE,"8. 80+")</f>
        <v>2. 20-29</v>
      </c>
      <c r="M151" t="str">
        <f t="shared" si="2"/>
        <v>2+ years</v>
      </c>
    </row>
    <row r="152" spans="1:13" x14ac:dyDescent="0.25">
      <c r="A152" t="s">
        <v>165</v>
      </c>
      <c r="B152" t="s">
        <v>6</v>
      </c>
      <c r="C152">
        <v>11900</v>
      </c>
      <c r="D152">
        <v>12.47</v>
      </c>
      <c r="E152">
        <v>35</v>
      </c>
      <c r="F152">
        <v>0</v>
      </c>
      <c r="G152" t="s">
        <v>2</v>
      </c>
      <c r="H152">
        <v>16</v>
      </c>
      <c r="I152">
        <v>60540</v>
      </c>
      <c r="J152">
        <v>695</v>
      </c>
      <c r="K152" t="str" cm="1">
        <f t="array" ref="K152">_xlfn.IFS(J152&lt;600,"520-599",J152&lt;650,"600-649",J152&lt;700,"650-699",J152&lt;750,"700-749",TRUE,"750+")</f>
        <v>650-699</v>
      </c>
      <c r="L152" t="str" cm="1">
        <f t="array" ref="L152">_xlfn.IFS(E152&lt;20,"1. Under 20",E152&lt;30,"2. 20-29",E152&lt;40,"3. 30-39",E152&lt;50,"4. 40-49",E152&lt;60,"5. 50-59",E152&lt;70,"6. 60-69",E152&lt;80,"7. 70-79",TRUE,"8. 80+")</f>
        <v>3. 30-39</v>
      </c>
      <c r="M152" t="str">
        <f t="shared" si="2"/>
        <v>2+ years</v>
      </c>
    </row>
    <row r="153" spans="1:13" x14ac:dyDescent="0.25">
      <c r="A153" t="s">
        <v>166</v>
      </c>
      <c r="B153" t="s">
        <v>4</v>
      </c>
      <c r="C153">
        <v>8400</v>
      </c>
      <c r="D153">
        <v>9.11</v>
      </c>
      <c r="E153">
        <v>38.200000000000003</v>
      </c>
      <c r="F153">
        <v>1</v>
      </c>
      <c r="G153" t="s">
        <v>7</v>
      </c>
      <c r="H153">
        <v>2</v>
      </c>
      <c r="I153">
        <v>62885</v>
      </c>
      <c r="J153">
        <v>725</v>
      </c>
      <c r="K153" t="str" cm="1">
        <f t="array" ref="K153">_xlfn.IFS(J153&lt;600,"520-599",J153&lt;650,"600-649",J153&lt;700,"650-699",J153&lt;750,"700-749",TRUE,"750+")</f>
        <v>700-749</v>
      </c>
      <c r="L153" t="str" cm="1">
        <f t="array" ref="L153">_xlfn.IFS(E153&lt;20,"1. Under 20",E153&lt;30,"2. 20-29",E153&lt;40,"3. 30-39",E153&lt;50,"4. 40-49",E153&lt;60,"5. 50-59",E153&lt;70,"6. 60-69",E153&lt;80,"7. 70-79",TRUE,"8. 80+")</f>
        <v>3. 30-39</v>
      </c>
      <c r="M153" t="str">
        <f t="shared" si="2"/>
        <v>2+ years</v>
      </c>
    </row>
    <row r="154" spans="1:13" x14ac:dyDescent="0.25">
      <c r="A154" t="s">
        <v>167</v>
      </c>
      <c r="B154" t="s">
        <v>1</v>
      </c>
      <c r="C154">
        <v>37900</v>
      </c>
      <c r="D154">
        <v>12.45</v>
      </c>
      <c r="E154">
        <v>98.6</v>
      </c>
      <c r="F154">
        <v>0</v>
      </c>
      <c r="G154" t="s">
        <v>7</v>
      </c>
      <c r="H154">
        <v>3</v>
      </c>
      <c r="I154">
        <v>45819</v>
      </c>
      <c r="J154">
        <v>746</v>
      </c>
      <c r="K154" t="str" cm="1">
        <f t="array" ref="K154">_xlfn.IFS(J154&lt;600,"520-599",J154&lt;650,"600-649",J154&lt;700,"650-699",J154&lt;750,"700-749",TRUE,"750+")</f>
        <v>700-749</v>
      </c>
      <c r="L154" t="str" cm="1">
        <f t="array" ref="L154">_xlfn.IFS(E154&lt;20,"1. Under 20",E154&lt;30,"2. 20-29",E154&lt;40,"3. 30-39",E154&lt;50,"4. 40-49",E154&lt;60,"5. 50-59",E154&lt;70,"6. 60-69",E154&lt;80,"7. 70-79",TRUE,"8. 80+")</f>
        <v>8. 80+</v>
      </c>
      <c r="M154" t="str">
        <f t="shared" si="2"/>
        <v>2+ years</v>
      </c>
    </row>
    <row r="155" spans="1:13" x14ac:dyDescent="0.25">
      <c r="A155" t="s">
        <v>168</v>
      </c>
      <c r="B155" t="s">
        <v>13</v>
      </c>
      <c r="C155">
        <v>30000</v>
      </c>
      <c r="D155">
        <v>14.64</v>
      </c>
      <c r="E155">
        <v>100.5</v>
      </c>
      <c r="F155">
        <v>1</v>
      </c>
      <c r="G155" t="s">
        <v>2</v>
      </c>
      <c r="H155">
        <v>22</v>
      </c>
      <c r="I155">
        <v>39760</v>
      </c>
      <c r="J155">
        <v>580</v>
      </c>
      <c r="K155" t="str" cm="1">
        <f t="array" ref="K155">_xlfn.IFS(J155&lt;600,"520-599",J155&lt;650,"600-649",J155&lt;700,"650-699",J155&lt;750,"700-749",TRUE,"750+")</f>
        <v>520-599</v>
      </c>
      <c r="L155" t="str" cm="1">
        <f t="array" ref="L155">_xlfn.IFS(E155&lt;20,"1. Under 20",E155&lt;30,"2. 20-29",E155&lt;40,"3. 30-39",E155&lt;50,"4. 40-49",E155&lt;60,"5. 50-59",E155&lt;70,"6. 60-69",E155&lt;80,"7. 70-79",TRUE,"8. 80+")</f>
        <v>8. 80+</v>
      </c>
      <c r="M155" t="str">
        <f t="shared" si="2"/>
        <v>2+ years</v>
      </c>
    </row>
    <row r="156" spans="1:13" x14ac:dyDescent="0.25">
      <c r="A156" t="s">
        <v>169</v>
      </c>
      <c r="B156" t="s">
        <v>9</v>
      </c>
      <c r="C156">
        <v>14900</v>
      </c>
      <c r="D156">
        <v>8.5500000000000007</v>
      </c>
      <c r="E156">
        <v>21</v>
      </c>
      <c r="F156">
        <v>0</v>
      </c>
      <c r="G156" t="s">
        <v>10</v>
      </c>
      <c r="H156">
        <v>0</v>
      </c>
      <c r="I156">
        <v>138216</v>
      </c>
      <c r="J156">
        <v>850</v>
      </c>
      <c r="K156" t="str" cm="1">
        <f t="array" ref="K156">_xlfn.IFS(J156&lt;600,"520-599",J156&lt;650,"600-649",J156&lt;700,"650-699",J156&lt;750,"700-749",TRUE,"750+")</f>
        <v>750+</v>
      </c>
      <c r="L156" t="str" cm="1">
        <f t="array" ref="L156">_xlfn.IFS(E156&lt;20,"1. Under 20",E156&lt;30,"2. 20-29",E156&lt;40,"3. 30-39",E156&lt;50,"4. 40-49",E156&lt;60,"5. 50-59",E156&lt;70,"6. 60-69",E156&lt;80,"7. 70-79",TRUE,"8. 80+")</f>
        <v>2. 20-29</v>
      </c>
      <c r="M156" t="str">
        <f t="shared" si="2"/>
        <v>Under 2 years</v>
      </c>
    </row>
    <row r="157" spans="1:13" x14ac:dyDescent="0.25">
      <c r="A157" t="s">
        <v>170</v>
      </c>
      <c r="B157" t="s">
        <v>21</v>
      </c>
      <c r="C157">
        <v>45700</v>
      </c>
      <c r="D157">
        <v>12.54</v>
      </c>
      <c r="E157">
        <v>50.5</v>
      </c>
      <c r="F157">
        <v>0</v>
      </c>
      <c r="G157" t="s">
        <v>2</v>
      </c>
      <c r="H157">
        <v>0</v>
      </c>
      <c r="I157">
        <v>71975</v>
      </c>
      <c r="J157">
        <v>714</v>
      </c>
      <c r="K157" t="str" cm="1">
        <f t="array" ref="K157">_xlfn.IFS(J157&lt;600,"520-599",J157&lt;650,"600-649",J157&lt;700,"650-699",J157&lt;750,"700-749",TRUE,"750+")</f>
        <v>700-749</v>
      </c>
      <c r="L157" t="str" cm="1">
        <f t="array" ref="L157">_xlfn.IFS(E157&lt;20,"1. Under 20",E157&lt;30,"2. 20-29",E157&lt;40,"3. 30-39",E157&lt;50,"4. 40-49",E157&lt;60,"5. 50-59",E157&lt;70,"6. 60-69",E157&lt;80,"7. 70-79",TRUE,"8. 80+")</f>
        <v>5. 50-59</v>
      </c>
      <c r="M157" t="str">
        <f t="shared" si="2"/>
        <v>Under 2 years</v>
      </c>
    </row>
    <row r="158" spans="1:13" x14ac:dyDescent="0.25">
      <c r="A158" t="s">
        <v>171</v>
      </c>
      <c r="B158" t="s">
        <v>6</v>
      </c>
      <c r="C158">
        <v>25000</v>
      </c>
      <c r="D158">
        <v>7.43</v>
      </c>
      <c r="E158">
        <v>59.5</v>
      </c>
      <c r="F158">
        <v>0</v>
      </c>
      <c r="G158" t="s">
        <v>29</v>
      </c>
      <c r="H158">
        <v>3</v>
      </c>
      <c r="I158">
        <v>37483</v>
      </c>
      <c r="J158">
        <v>796</v>
      </c>
      <c r="K158" t="str" cm="1">
        <f t="array" ref="K158">_xlfn.IFS(J158&lt;600,"520-599",J158&lt;650,"600-649",J158&lt;700,"650-699",J158&lt;750,"700-749",TRUE,"750+")</f>
        <v>750+</v>
      </c>
      <c r="L158" t="str" cm="1">
        <f t="array" ref="L158">_xlfn.IFS(E158&lt;20,"1. Under 20",E158&lt;30,"2. 20-29",E158&lt;40,"3. 30-39",E158&lt;50,"4. 40-49",E158&lt;60,"5. 50-59",E158&lt;70,"6. 60-69",E158&lt;80,"7. 70-79",TRUE,"8. 80+")</f>
        <v>5. 50-59</v>
      </c>
      <c r="M158" t="str">
        <f t="shared" si="2"/>
        <v>2+ years</v>
      </c>
    </row>
    <row r="159" spans="1:13" x14ac:dyDescent="0.25">
      <c r="A159" t="s">
        <v>172</v>
      </c>
      <c r="B159" t="s">
        <v>26</v>
      </c>
      <c r="C159">
        <v>32900</v>
      </c>
      <c r="D159">
        <v>12.42</v>
      </c>
      <c r="E159">
        <v>63.7</v>
      </c>
      <c r="F159">
        <v>0</v>
      </c>
      <c r="G159" t="s">
        <v>29</v>
      </c>
      <c r="H159">
        <v>9</v>
      </c>
      <c r="I159">
        <v>34167</v>
      </c>
      <c r="J159">
        <v>551</v>
      </c>
      <c r="K159" t="str" cm="1">
        <f t="array" ref="K159">_xlfn.IFS(J159&lt;600,"520-599",J159&lt;650,"600-649",J159&lt;700,"650-699",J159&lt;750,"700-749",TRUE,"750+")</f>
        <v>520-599</v>
      </c>
      <c r="L159" t="str" cm="1">
        <f t="array" ref="L159">_xlfn.IFS(E159&lt;20,"1. Under 20",E159&lt;30,"2. 20-29",E159&lt;40,"3. 30-39",E159&lt;50,"4. 40-49",E159&lt;60,"5. 50-59",E159&lt;70,"6. 60-69",E159&lt;80,"7. 70-79",TRUE,"8. 80+")</f>
        <v>6. 60-69</v>
      </c>
      <c r="M159" t="str">
        <f t="shared" si="2"/>
        <v>2+ years</v>
      </c>
    </row>
    <row r="160" spans="1:13" x14ac:dyDescent="0.25">
      <c r="A160" t="s">
        <v>173</v>
      </c>
      <c r="B160" t="s">
        <v>13</v>
      </c>
      <c r="C160">
        <v>12900</v>
      </c>
      <c r="D160">
        <v>14.96</v>
      </c>
      <c r="E160">
        <v>19.8</v>
      </c>
      <c r="F160">
        <v>0</v>
      </c>
      <c r="G160" t="s">
        <v>29</v>
      </c>
      <c r="H160">
        <v>9</v>
      </c>
      <c r="I160">
        <v>34167</v>
      </c>
      <c r="J160">
        <v>551</v>
      </c>
      <c r="K160" t="str" cm="1">
        <f t="array" ref="K160">_xlfn.IFS(J160&lt;600,"520-599",J160&lt;650,"600-649",J160&lt;700,"650-699",J160&lt;750,"700-749",TRUE,"750+")</f>
        <v>520-599</v>
      </c>
      <c r="L160" t="str" cm="1">
        <f t="array" ref="L160">_xlfn.IFS(E160&lt;20,"1. Under 20",E160&lt;30,"2. 20-29",E160&lt;40,"3. 30-39",E160&lt;50,"4. 40-49",E160&lt;60,"5. 50-59",E160&lt;70,"6. 60-69",E160&lt;80,"7. 70-79",TRUE,"8. 80+")</f>
        <v>1. Under 20</v>
      </c>
      <c r="M160" t="str">
        <f t="shared" si="2"/>
        <v>2+ years</v>
      </c>
    </row>
    <row r="161" spans="1:13" x14ac:dyDescent="0.25">
      <c r="A161" t="s">
        <v>174</v>
      </c>
      <c r="B161" t="s">
        <v>26</v>
      </c>
      <c r="C161">
        <v>34300</v>
      </c>
      <c r="D161">
        <v>9.7100000000000009</v>
      </c>
      <c r="E161">
        <v>63</v>
      </c>
      <c r="F161">
        <v>1</v>
      </c>
      <c r="G161" t="s">
        <v>7</v>
      </c>
      <c r="H161">
        <v>6</v>
      </c>
      <c r="I161">
        <v>68802</v>
      </c>
      <c r="J161">
        <v>674</v>
      </c>
      <c r="K161" t="str" cm="1">
        <f t="array" ref="K161">_xlfn.IFS(J161&lt;600,"520-599",J161&lt;650,"600-649",J161&lt;700,"650-699",J161&lt;750,"700-749",TRUE,"750+")</f>
        <v>650-699</v>
      </c>
      <c r="L161" t="str" cm="1">
        <f t="array" ref="L161">_xlfn.IFS(E161&lt;20,"1. Under 20",E161&lt;30,"2. 20-29",E161&lt;40,"3. 30-39",E161&lt;50,"4. 40-49",E161&lt;60,"5. 50-59",E161&lt;70,"6. 60-69",E161&lt;80,"7. 70-79",TRUE,"8. 80+")</f>
        <v>6. 60-69</v>
      </c>
      <c r="M161" t="str">
        <f t="shared" si="2"/>
        <v>2+ years</v>
      </c>
    </row>
    <row r="162" spans="1:13" x14ac:dyDescent="0.25">
      <c r="A162" t="s">
        <v>175</v>
      </c>
      <c r="B162" t="s">
        <v>9</v>
      </c>
      <c r="C162">
        <v>5700</v>
      </c>
      <c r="D162">
        <v>12</v>
      </c>
      <c r="E162">
        <v>19.100000000000001</v>
      </c>
      <c r="F162">
        <v>0</v>
      </c>
      <c r="G162" t="s">
        <v>7</v>
      </c>
      <c r="H162">
        <v>14</v>
      </c>
      <c r="I162">
        <v>83163</v>
      </c>
      <c r="J162">
        <v>563</v>
      </c>
      <c r="K162" t="str" cm="1">
        <f t="array" ref="K162">_xlfn.IFS(J162&lt;600,"520-599",J162&lt;650,"600-649",J162&lt;700,"650-699",J162&lt;750,"700-749",TRUE,"750+")</f>
        <v>520-599</v>
      </c>
      <c r="L162" t="str" cm="1">
        <f t="array" ref="L162">_xlfn.IFS(E162&lt;20,"1. Under 20",E162&lt;30,"2. 20-29",E162&lt;40,"3. 30-39",E162&lt;50,"4. 40-49",E162&lt;60,"5. 50-59",E162&lt;70,"6. 60-69",E162&lt;80,"7. 70-79",TRUE,"8. 80+")</f>
        <v>1. Under 20</v>
      </c>
      <c r="M162" t="str">
        <f t="shared" si="2"/>
        <v>2+ years</v>
      </c>
    </row>
    <row r="163" spans="1:13" x14ac:dyDescent="0.25">
      <c r="A163" t="s">
        <v>176</v>
      </c>
      <c r="B163" t="s">
        <v>21</v>
      </c>
      <c r="C163">
        <v>48500</v>
      </c>
      <c r="D163">
        <v>15.28</v>
      </c>
      <c r="E163">
        <v>32</v>
      </c>
      <c r="F163">
        <v>0</v>
      </c>
      <c r="G163" t="s">
        <v>7</v>
      </c>
      <c r="H163">
        <v>14</v>
      </c>
      <c r="I163">
        <v>83163</v>
      </c>
      <c r="J163">
        <v>563</v>
      </c>
      <c r="K163" t="str" cm="1">
        <f t="array" ref="K163">_xlfn.IFS(J163&lt;600,"520-599",J163&lt;650,"600-649",J163&lt;700,"650-699",J163&lt;750,"700-749",TRUE,"750+")</f>
        <v>520-599</v>
      </c>
      <c r="L163" t="str" cm="1">
        <f t="array" ref="L163">_xlfn.IFS(E163&lt;20,"1. Under 20",E163&lt;30,"2. 20-29",E163&lt;40,"3. 30-39",E163&lt;50,"4. 40-49",E163&lt;60,"5. 50-59",E163&lt;70,"6. 60-69",E163&lt;80,"7. 70-79",TRUE,"8. 80+")</f>
        <v>3. 30-39</v>
      </c>
      <c r="M163" t="str">
        <f t="shared" si="2"/>
        <v>2+ years</v>
      </c>
    </row>
    <row r="164" spans="1:13" x14ac:dyDescent="0.25">
      <c r="A164" t="s">
        <v>177</v>
      </c>
      <c r="B164" t="s">
        <v>17</v>
      </c>
      <c r="C164">
        <v>21200</v>
      </c>
      <c r="D164">
        <v>13.29</v>
      </c>
      <c r="E164">
        <v>31.3</v>
      </c>
      <c r="F164">
        <v>0</v>
      </c>
      <c r="G164" t="s">
        <v>2</v>
      </c>
      <c r="H164">
        <v>0</v>
      </c>
      <c r="I164">
        <v>79434</v>
      </c>
      <c r="J164">
        <v>596</v>
      </c>
      <c r="K164" t="str" cm="1">
        <f t="array" ref="K164">_xlfn.IFS(J164&lt;600,"520-599",J164&lt;650,"600-649",J164&lt;700,"650-699",J164&lt;750,"700-749",TRUE,"750+")</f>
        <v>520-599</v>
      </c>
      <c r="L164" t="str" cm="1">
        <f t="array" ref="L164">_xlfn.IFS(E164&lt;20,"1. Under 20",E164&lt;30,"2. 20-29",E164&lt;40,"3. 30-39",E164&lt;50,"4. 40-49",E164&lt;60,"5. 50-59",E164&lt;70,"6. 60-69",E164&lt;80,"7. 70-79",TRUE,"8. 80+")</f>
        <v>3. 30-39</v>
      </c>
      <c r="M164" t="str">
        <f t="shared" si="2"/>
        <v>Under 2 years</v>
      </c>
    </row>
    <row r="165" spans="1:13" x14ac:dyDescent="0.25">
      <c r="A165" t="s">
        <v>178</v>
      </c>
      <c r="B165" t="s">
        <v>6</v>
      </c>
      <c r="C165">
        <v>20400</v>
      </c>
      <c r="D165">
        <v>11.07</v>
      </c>
      <c r="E165">
        <v>30.1</v>
      </c>
      <c r="F165">
        <v>0</v>
      </c>
      <c r="G165" t="s">
        <v>23</v>
      </c>
      <c r="H165">
        <v>4</v>
      </c>
      <c r="I165">
        <v>33144</v>
      </c>
      <c r="J165">
        <v>706</v>
      </c>
      <c r="K165" t="str" cm="1">
        <f t="array" ref="K165">_xlfn.IFS(J165&lt;600,"520-599",J165&lt;650,"600-649",J165&lt;700,"650-699",J165&lt;750,"700-749",TRUE,"750+")</f>
        <v>700-749</v>
      </c>
      <c r="L165" t="str" cm="1">
        <f t="array" ref="L165">_xlfn.IFS(E165&lt;20,"1. Under 20",E165&lt;30,"2. 20-29",E165&lt;40,"3. 30-39",E165&lt;50,"4. 40-49",E165&lt;60,"5. 50-59",E165&lt;70,"6. 60-69",E165&lt;80,"7. 70-79",TRUE,"8. 80+")</f>
        <v>3. 30-39</v>
      </c>
      <c r="M165" t="str">
        <f t="shared" si="2"/>
        <v>2+ years</v>
      </c>
    </row>
    <row r="166" spans="1:13" x14ac:dyDescent="0.25">
      <c r="A166" t="s">
        <v>179</v>
      </c>
      <c r="B166" t="s">
        <v>21</v>
      </c>
      <c r="C166">
        <v>9200</v>
      </c>
      <c r="D166">
        <v>8.93</v>
      </c>
      <c r="E166">
        <v>30.1</v>
      </c>
      <c r="F166">
        <v>0</v>
      </c>
      <c r="G166" t="s">
        <v>23</v>
      </c>
      <c r="H166">
        <v>3</v>
      </c>
      <c r="I166">
        <v>57088</v>
      </c>
      <c r="J166">
        <v>850</v>
      </c>
      <c r="K166" t="str" cm="1">
        <f t="array" ref="K166">_xlfn.IFS(J166&lt;600,"520-599",J166&lt;650,"600-649",J166&lt;700,"650-699",J166&lt;750,"700-749",TRUE,"750+")</f>
        <v>750+</v>
      </c>
      <c r="L166" t="str" cm="1">
        <f t="array" ref="L166">_xlfn.IFS(E166&lt;20,"1. Under 20",E166&lt;30,"2. 20-29",E166&lt;40,"3. 30-39",E166&lt;50,"4. 40-49",E166&lt;60,"5. 50-59",E166&lt;70,"6. 60-69",E166&lt;80,"7. 70-79",TRUE,"8. 80+")</f>
        <v>3. 30-39</v>
      </c>
      <c r="M166" t="str">
        <f t="shared" si="2"/>
        <v>2+ years</v>
      </c>
    </row>
    <row r="167" spans="1:13" x14ac:dyDescent="0.25">
      <c r="A167" t="s">
        <v>180</v>
      </c>
      <c r="B167" t="s">
        <v>15</v>
      </c>
      <c r="C167">
        <v>5100</v>
      </c>
      <c r="D167">
        <v>8.7100000000000009</v>
      </c>
      <c r="E167">
        <v>24.6</v>
      </c>
      <c r="F167">
        <v>0</v>
      </c>
      <c r="G167" t="s">
        <v>23</v>
      </c>
      <c r="H167">
        <v>3</v>
      </c>
      <c r="I167">
        <v>57088</v>
      </c>
      <c r="J167">
        <v>850</v>
      </c>
      <c r="K167" t="str" cm="1">
        <f t="array" ref="K167">_xlfn.IFS(J167&lt;600,"520-599",J167&lt;650,"600-649",J167&lt;700,"650-699",J167&lt;750,"700-749",TRUE,"750+")</f>
        <v>750+</v>
      </c>
      <c r="L167" t="str" cm="1">
        <f t="array" ref="L167">_xlfn.IFS(E167&lt;20,"1. Under 20",E167&lt;30,"2. 20-29",E167&lt;40,"3. 30-39",E167&lt;50,"4. 40-49",E167&lt;60,"5. 50-59",E167&lt;70,"6. 60-69",E167&lt;80,"7. 70-79",TRUE,"8. 80+")</f>
        <v>2. 20-29</v>
      </c>
      <c r="M167" t="str">
        <f t="shared" si="2"/>
        <v>2+ years</v>
      </c>
    </row>
    <row r="168" spans="1:13" x14ac:dyDescent="0.25">
      <c r="A168" t="s">
        <v>181</v>
      </c>
      <c r="B168" t="s">
        <v>13</v>
      </c>
      <c r="C168">
        <v>9100</v>
      </c>
      <c r="D168">
        <v>10.07</v>
      </c>
      <c r="E168">
        <v>13.3</v>
      </c>
      <c r="F168">
        <v>0</v>
      </c>
      <c r="G168" t="s">
        <v>2</v>
      </c>
      <c r="H168">
        <v>6</v>
      </c>
      <c r="I168">
        <v>63686</v>
      </c>
      <c r="J168">
        <v>758</v>
      </c>
      <c r="K168" t="str" cm="1">
        <f t="array" ref="K168">_xlfn.IFS(J168&lt;600,"520-599",J168&lt;650,"600-649",J168&lt;700,"650-699",J168&lt;750,"700-749",TRUE,"750+")</f>
        <v>750+</v>
      </c>
      <c r="L168" t="str" cm="1">
        <f t="array" ref="L168">_xlfn.IFS(E168&lt;20,"1. Under 20",E168&lt;30,"2. 20-29",E168&lt;40,"3. 30-39",E168&lt;50,"4. 40-49",E168&lt;60,"5. 50-59",E168&lt;70,"6. 60-69",E168&lt;80,"7. 70-79",TRUE,"8. 80+")</f>
        <v>1. Under 20</v>
      </c>
      <c r="M168" t="str">
        <f t="shared" si="2"/>
        <v>2+ years</v>
      </c>
    </row>
    <row r="169" spans="1:13" x14ac:dyDescent="0.25">
      <c r="A169" t="s">
        <v>182</v>
      </c>
      <c r="B169" t="s">
        <v>15</v>
      </c>
      <c r="C169">
        <v>46500</v>
      </c>
      <c r="D169">
        <v>10.199999999999999</v>
      </c>
      <c r="E169">
        <v>71.5</v>
      </c>
      <c r="F169">
        <v>1</v>
      </c>
      <c r="G169" t="s">
        <v>7</v>
      </c>
      <c r="H169">
        <v>16</v>
      </c>
      <c r="I169">
        <v>121448</v>
      </c>
      <c r="J169">
        <v>589</v>
      </c>
      <c r="K169" t="str" cm="1">
        <f t="array" ref="K169">_xlfn.IFS(J169&lt;600,"520-599",J169&lt;650,"600-649",J169&lt;700,"650-699",J169&lt;750,"700-749",TRUE,"750+")</f>
        <v>520-599</v>
      </c>
      <c r="L169" t="str" cm="1">
        <f t="array" ref="L169">_xlfn.IFS(E169&lt;20,"1. Under 20",E169&lt;30,"2. 20-29",E169&lt;40,"3. 30-39",E169&lt;50,"4. 40-49",E169&lt;60,"5. 50-59",E169&lt;70,"6. 60-69",E169&lt;80,"7. 70-79",TRUE,"8. 80+")</f>
        <v>7. 70-79</v>
      </c>
      <c r="M169" t="str">
        <f t="shared" si="2"/>
        <v>2+ years</v>
      </c>
    </row>
    <row r="170" spans="1:13" x14ac:dyDescent="0.25">
      <c r="A170" t="s">
        <v>183</v>
      </c>
      <c r="B170" t="s">
        <v>1</v>
      </c>
      <c r="C170">
        <v>48500</v>
      </c>
      <c r="D170">
        <v>13.52</v>
      </c>
      <c r="E170">
        <v>61.3</v>
      </c>
      <c r="F170">
        <v>1</v>
      </c>
      <c r="G170" t="s">
        <v>7</v>
      </c>
      <c r="H170">
        <v>16</v>
      </c>
      <c r="I170">
        <v>121448</v>
      </c>
      <c r="J170">
        <v>589</v>
      </c>
      <c r="K170" t="str" cm="1">
        <f t="array" ref="K170">_xlfn.IFS(J170&lt;600,"520-599",J170&lt;650,"600-649",J170&lt;700,"650-699",J170&lt;750,"700-749",TRUE,"750+")</f>
        <v>520-599</v>
      </c>
      <c r="L170" t="str" cm="1">
        <f t="array" ref="L170">_xlfn.IFS(E170&lt;20,"1. Under 20",E170&lt;30,"2. 20-29",E170&lt;40,"3. 30-39",E170&lt;50,"4. 40-49",E170&lt;60,"5. 50-59",E170&lt;70,"6. 60-69",E170&lt;80,"7. 70-79",TRUE,"8. 80+")</f>
        <v>6. 60-69</v>
      </c>
      <c r="M170" t="str">
        <f t="shared" si="2"/>
        <v>2+ years</v>
      </c>
    </row>
    <row r="171" spans="1:13" x14ac:dyDescent="0.25">
      <c r="A171" t="s">
        <v>184</v>
      </c>
      <c r="B171" t="s">
        <v>21</v>
      </c>
      <c r="C171">
        <v>13500</v>
      </c>
      <c r="D171">
        <v>10.039999999999999</v>
      </c>
      <c r="E171">
        <v>45.8</v>
      </c>
      <c r="F171">
        <v>0</v>
      </c>
      <c r="G171" t="s">
        <v>29</v>
      </c>
      <c r="H171">
        <v>7</v>
      </c>
      <c r="I171">
        <v>49067</v>
      </c>
      <c r="J171">
        <v>605</v>
      </c>
      <c r="K171" t="str" cm="1">
        <f t="array" ref="K171">_xlfn.IFS(J171&lt;600,"520-599",J171&lt;650,"600-649",J171&lt;700,"650-699",J171&lt;750,"700-749",TRUE,"750+")</f>
        <v>600-649</v>
      </c>
      <c r="L171" t="str" cm="1">
        <f t="array" ref="L171">_xlfn.IFS(E171&lt;20,"1. Under 20",E171&lt;30,"2. 20-29",E171&lt;40,"3. 30-39",E171&lt;50,"4. 40-49",E171&lt;60,"5. 50-59",E171&lt;70,"6. 60-69",E171&lt;80,"7. 70-79",TRUE,"8. 80+")</f>
        <v>4. 40-49</v>
      </c>
      <c r="M171" t="str">
        <f t="shared" si="2"/>
        <v>2+ years</v>
      </c>
    </row>
    <row r="172" spans="1:13" x14ac:dyDescent="0.25">
      <c r="A172" t="s">
        <v>185</v>
      </c>
      <c r="B172" t="s">
        <v>26</v>
      </c>
      <c r="C172">
        <v>19900</v>
      </c>
      <c r="D172">
        <v>8.2799999999999994</v>
      </c>
      <c r="E172">
        <v>64.900000000000006</v>
      </c>
      <c r="F172">
        <v>0</v>
      </c>
      <c r="G172" t="s">
        <v>29</v>
      </c>
      <c r="H172">
        <v>28</v>
      </c>
      <c r="I172">
        <v>26701</v>
      </c>
      <c r="J172">
        <v>762</v>
      </c>
      <c r="K172" t="str" cm="1">
        <f t="array" ref="K172">_xlfn.IFS(J172&lt;600,"520-599",J172&lt;650,"600-649",J172&lt;700,"650-699",J172&lt;750,"700-749",TRUE,"750+")</f>
        <v>750+</v>
      </c>
      <c r="L172" t="str" cm="1">
        <f t="array" ref="L172">_xlfn.IFS(E172&lt;20,"1. Under 20",E172&lt;30,"2. 20-29",E172&lt;40,"3. 30-39",E172&lt;50,"4. 40-49",E172&lt;60,"5. 50-59",E172&lt;70,"6. 60-69",E172&lt;80,"7. 70-79",TRUE,"8. 80+")</f>
        <v>6. 60-69</v>
      </c>
      <c r="M172" t="str">
        <f t="shared" si="2"/>
        <v>2+ years</v>
      </c>
    </row>
    <row r="173" spans="1:13" x14ac:dyDescent="0.25">
      <c r="A173" t="s">
        <v>186</v>
      </c>
      <c r="B173" t="s">
        <v>6</v>
      </c>
      <c r="C173">
        <v>11000</v>
      </c>
      <c r="D173">
        <v>10.53</v>
      </c>
      <c r="E173">
        <v>29.5</v>
      </c>
      <c r="F173">
        <v>0</v>
      </c>
      <c r="G173" t="s">
        <v>29</v>
      </c>
      <c r="H173">
        <v>4</v>
      </c>
      <c r="I173">
        <v>26403</v>
      </c>
      <c r="J173">
        <v>750</v>
      </c>
      <c r="K173" t="str" cm="1">
        <f t="array" ref="K173">_xlfn.IFS(J173&lt;600,"520-599",J173&lt;650,"600-649",J173&lt;700,"650-699",J173&lt;750,"700-749",TRUE,"750+")</f>
        <v>750+</v>
      </c>
      <c r="L173" t="str" cm="1">
        <f t="array" ref="L173">_xlfn.IFS(E173&lt;20,"1. Under 20",E173&lt;30,"2. 20-29",E173&lt;40,"3. 30-39",E173&lt;50,"4. 40-49",E173&lt;60,"5. 50-59",E173&lt;70,"6. 60-69",E173&lt;80,"7. 70-79",TRUE,"8. 80+")</f>
        <v>2. 20-29</v>
      </c>
      <c r="M173" t="str">
        <f t="shared" si="2"/>
        <v>2+ years</v>
      </c>
    </row>
    <row r="174" spans="1:13" x14ac:dyDescent="0.25">
      <c r="A174" t="s">
        <v>187</v>
      </c>
      <c r="B174" t="s">
        <v>13</v>
      </c>
      <c r="C174">
        <v>2600</v>
      </c>
      <c r="D174">
        <v>12.52</v>
      </c>
      <c r="E174">
        <v>49.7</v>
      </c>
      <c r="F174">
        <v>0</v>
      </c>
      <c r="G174" t="s">
        <v>7</v>
      </c>
      <c r="H174">
        <v>0</v>
      </c>
      <c r="I174">
        <v>70059</v>
      </c>
      <c r="J174">
        <v>554</v>
      </c>
      <c r="K174" t="str" cm="1">
        <f t="array" ref="K174">_xlfn.IFS(J174&lt;600,"520-599",J174&lt;650,"600-649",J174&lt;700,"650-699",J174&lt;750,"700-749",TRUE,"750+")</f>
        <v>520-599</v>
      </c>
      <c r="L174" t="str" cm="1">
        <f t="array" ref="L174">_xlfn.IFS(E174&lt;20,"1. Under 20",E174&lt;30,"2. 20-29",E174&lt;40,"3. 30-39",E174&lt;50,"4. 40-49",E174&lt;60,"5. 50-59",E174&lt;70,"6. 60-69",E174&lt;80,"7. 70-79",TRUE,"8. 80+")</f>
        <v>4. 40-49</v>
      </c>
      <c r="M174" t="str">
        <f t="shared" si="2"/>
        <v>Under 2 years</v>
      </c>
    </row>
    <row r="175" spans="1:13" x14ac:dyDescent="0.25">
      <c r="A175" t="s">
        <v>188</v>
      </c>
      <c r="B175" t="s">
        <v>1</v>
      </c>
      <c r="C175">
        <v>21900</v>
      </c>
      <c r="D175">
        <v>12.21</v>
      </c>
      <c r="E175">
        <v>58.1</v>
      </c>
      <c r="F175">
        <v>0</v>
      </c>
      <c r="G175" t="s">
        <v>7</v>
      </c>
      <c r="H175">
        <v>0</v>
      </c>
      <c r="I175">
        <v>70059</v>
      </c>
      <c r="J175">
        <v>554</v>
      </c>
      <c r="K175" t="str" cm="1">
        <f t="array" ref="K175">_xlfn.IFS(J175&lt;600,"520-599",J175&lt;650,"600-649",J175&lt;700,"650-699",J175&lt;750,"700-749",TRUE,"750+")</f>
        <v>520-599</v>
      </c>
      <c r="L175" t="str" cm="1">
        <f t="array" ref="L175">_xlfn.IFS(E175&lt;20,"1. Under 20",E175&lt;30,"2. 20-29",E175&lt;40,"3. 30-39",E175&lt;50,"4. 40-49",E175&lt;60,"5. 50-59",E175&lt;70,"6. 60-69",E175&lt;80,"7. 70-79",TRUE,"8. 80+")</f>
        <v>5. 50-59</v>
      </c>
      <c r="M175" t="str">
        <f t="shared" si="2"/>
        <v>Under 2 years</v>
      </c>
    </row>
    <row r="176" spans="1:13" x14ac:dyDescent="0.25">
      <c r="A176" t="s">
        <v>189</v>
      </c>
      <c r="B176" t="s">
        <v>15</v>
      </c>
      <c r="C176">
        <v>19300</v>
      </c>
      <c r="D176">
        <v>11.3</v>
      </c>
      <c r="E176">
        <v>21.6</v>
      </c>
      <c r="F176">
        <v>0</v>
      </c>
      <c r="G176" t="s">
        <v>7</v>
      </c>
      <c r="H176">
        <v>0</v>
      </c>
      <c r="I176">
        <v>70121</v>
      </c>
      <c r="J176">
        <v>818</v>
      </c>
      <c r="K176" t="str" cm="1">
        <f t="array" ref="K176">_xlfn.IFS(J176&lt;600,"520-599",J176&lt;650,"600-649",J176&lt;700,"650-699",J176&lt;750,"700-749",TRUE,"750+")</f>
        <v>750+</v>
      </c>
      <c r="L176" t="str" cm="1">
        <f t="array" ref="L176">_xlfn.IFS(E176&lt;20,"1. Under 20",E176&lt;30,"2. 20-29",E176&lt;40,"3. 30-39",E176&lt;50,"4. 40-49",E176&lt;60,"5. 50-59",E176&lt;70,"6. 60-69",E176&lt;80,"7. 70-79",TRUE,"8. 80+")</f>
        <v>2. 20-29</v>
      </c>
      <c r="M176" t="str">
        <f t="shared" si="2"/>
        <v>Under 2 years</v>
      </c>
    </row>
    <row r="177" spans="1:13" x14ac:dyDescent="0.25">
      <c r="A177" t="s">
        <v>190</v>
      </c>
      <c r="B177" t="s">
        <v>9</v>
      </c>
      <c r="C177">
        <v>20600</v>
      </c>
      <c r="D177">
        <v>14.08</v>
      </c>
      <c r="E177">
        <v>26.5</v>
      </c>
      <c r="F177">
        <v>1</v>
      </c>
      <c r="G177" t="s">
        <v>7</v>
      </c>
      <c r="H177">
        <v>21</v>
      </c>
      <c r="I177">
        <v>44547</v>
      </c>
      <c r="J177">
        <v>582</v>
      </c>
      <c r="K177" t="str" cm="1">
        <f t="array" ref="K177">_xlfn.IFS(J177&lt;600,"520-599",J177&lt;650,"600-649",J177&lt;700,"650-699",J177&lt;750,"700-749",TRUE,"750+")</f>
        <v>520-599</v>
      </c>
      <c r="L177" t="str" cm="1">
        <f t="array" ref="L177">_xlfn.IFS(E177&lt;20,"1. Under 20",E177&lt;30,"2. 20-29",E177&lt;40,"3. 30-39",E177&lt;50,"4. 40-49",E177&lt;60,"5. 50-59",E177&lt;70,"6. 60-69",E177&lt;80,"7. 70-79",TRUE,"8. 80+")</f>
        <v>2. 20-29</v>
      </c>
      <c r="M177" t="str">
        <f t="shared" si="2"/>
        <v>2+ years</v>
      </c>
    </row>
    <row r="178" spans="1:13" x14ac:dyDescent="0.25">
      <c r="A178" t="s">
        <v>191</v>
      </c>
      <c r="B178" t="s">
        <v>1</v>
      </c>
      <c r="C178">
        <v>17700</v>
      </c>
      <c r="D178">
        <v>7.49</v>
      </c>
      <c r="E178">
        <v>32.6</v>
      </c>
      <c r="F178">
        <v>0</v>
      </c>
      <c r="G178" t="s">
        <v>29</v>
      </c>
      <c r="H178">
        <v>5</v>
      </c>
      <c r="I178">
        <v>59739</v>
      </c>
      <c r="J178">
        <v>842</v>
      </c>
      <c r="K178" t="str" cm="1">
        <f t="array" ref="K178">_xlfn.IFS(J178&lt;600,"520-599",J178&lt;650,"600-649",J178&lt;700,"650-699",J178&lt;750,"700-749",TRUE,"750+")</f>
        <v>750+</v>
      </c>
      <c r="L178" t="str" cm="1">
        <f t="array" ref="L178">_xlfn.IFS(E178&lt;20,"1. Under 20",E178&lt;30,"2. 20-29",E178&lt;40,"3. 30-39",E178&lt;50,"4. 40-49",E178&lt;60,"5. 50-59",E178&lt;70,"6. 60-69",E178&lt;80,"7. 70-79",TRUE,"8. 80+")</f>
        <v>3. 30-39</v>
      </c>
      <c r="M178" t="str">
        <f t="shared" si="2"/>
        <v>2+ years</v>
      </c>
    </row>
    <row r="179" spans="1:13" x14ac:dyDescent="0.25">
      <c r="A179" t="s">
        <v>192</v>
      </c>
      <c r="B179" t="s">
        <v>1</v>
      </c>
      <c r="C179">
        <v>24800</v>
      </c>
      <c r="D179">
        <v>10.24</v>
      </c>
      <c r="E179">
        <v>31.1</v>
      </c>
      <c r="F179">
        <v>0</v>
      </c>
      <c r="G179" t="s">
        <v>7</v>
      </c>
      <c r="H179">
        <v>2</v>
      </c>
      <c r="I179">
        <v>80850</v>
      </c>
      <c r="J179">
        <v>711</v>
      </c>
      <c r="K179" t="str" cm="1">
        <f t="array" ref="K179">_xlfn.IFS(J179&lt;600,"520-599",J179&lt;650,"600-649",J179&lt;700,"650-699",J179&lt;750,"700-749",TRUE,"750+")</f>
        <v>700-749</v>
      </c>
      <c r="L179" t="str" cm="1">
        <f t="array" ref="L179">_xlfn.IFS(E179&lt;20,"1. Under 20",E179&lt;30,"2. 20-29",E179&lt;40,"3. 30-39",E179&lt;50,"4. 40-49",E179&lt;60,"5. 50-59",E179&lt;70,"6. 60-69",E179&lt;80,"7. 70-79",TRUE,"8. 80+")</f>
        <v>3. 30-39</v>
      </c>
      <c r="M179" t="str">
        <f t="shared" si="2"/>
        <v>2+ years</v>
      </c>
    </row>
    <row r="180" spans="1:13" x14ac:dyDescent="0.25">
      <c r="A180" t="s">
        <v>193</v>
      </c>
      <c r="B180" t="s">
        <v>1</v>
      </c>
      <c r="C180">
        <v>5200</v>
      </c>
      <c r="D180">
        <v>12.72</v>
      </c>
      <c r="E180">
        <v>25.8</v>
      </c>
      <c r="F180">
        <v>0</v>
      </c>
      <c r="G180" t="s">
        <v>29</v>
      </c>
      <c r="H180">
        <v>21</v>
      </c>
      <c r="I180">
        <v>63786</v>
      </c>
      <c r="J180">
        <v>611</v>
      </c>
      <c r="K180" t="str" cm="1">
        <f t="array" ref="K180">_xlfn.IFS(J180&lt;600,"520-599",J180&lt;650,"600-649",J180&lt;700,"650-699",J180&lt;750,"700-749",TRUE,"750+")</f>
        <v>600-649</v>
      </c>
      <c r="L180" t="str" cm="1">
        <f t="array" ref="L180">_xlfn.IFS(E180&lt;20,"1. Under 20",E180&lt;30,"2. 20-29",E180&lt;40,"3. 30-39",E180&lt;50,"4. 40-49",E180&lt;60,"5. 50-59",E180&lt;70,"6. 60-69",E180&lt;80,"7. 70-79",TRUE,"8. 80+")</f>
        <v>2. 20-29</v>
      </c>
      <c r="M180" t="str">
        <f t="shared" si="2"/>
        <v>2+ years</v>
      </c>
    </row>
    <row r="181" spans="1:13" x14ac:dyDescent="0.25">
      <c r="A181" t="s">
        <v>194</v>
      </c>
      <c r="B181" t="s">
        <v>17</v>
      </c>
      <c r="C181">
        <v>37200</v>
      </c>
      <c r="D181">
        <v>14.59</v>
      </c>
      <c r="E181">
        <v>96.8</v>
      </c>
      <c r="F181">
        <v>0</v>
      </c>
      <c r="G181" t="s">
        <v>7</v>
      </c>
      <c r="H181">
        <v>19</v>
      </c>
      <c r="I181">
        <v>78563</v>
      </c>
      <c r="J181">
        <v>578</v>
      </c>
      <c r="K181" t="str" cm="1">
        <f t="array" ref="K181">_xlfn.IFS(J181&lt;600,"520-599",J181&lt;650,"600-649",J181&lt;700,"650-699",J181&lt;750,"700-749",TRUE,"750+")</f>
        <v>520-599</v>
      </c>
      <c r="L181" t="str" cm="1">
        <f t="array" ref="L181">_xlfn.IFS(E181&lt;20,"1. Under 20",E181&lt;30,"2. 20-29",E181&lt;40,"3. 30-39",E181&lt;50,"4. 40-49",E181&lt;60,"5. 50-59",E181&lt;70,"6. 60-69",E181&lt;80,"7. 70-79",TRUE,"8. 80+")</f>
        <v>8. 80+</v>
      </c>
      <c r="M181" t="str">
        <f t="shared" si="2"/>
        <v>2+ years</v>
      </c>
    </row>
    <row r="182" spans="1:13" x14ac:dyDescent="0.25">
      <c r="A182" t="s">
        <v>195</v>
      </c>
      <c r="B182" t="s">
        <v>13</v>
      </c>
      <c r="C182">
        <v>12800</v>
      </c>
      <c r="D182">
        <v>9.6999999999999993</v>
      </c>
      <c r="E182">
        <v>10.5</v>
      </c>
      <c r="F182">
        <v>1</v>
      </c>
      <c r="G182" t="s">
        <v>29</v>
      </c>
      <c r="H182">
        <v>5</v>
      </c>
      <c r="I182">
        <v>84093</v>
      </c>
      <c r="J182">
        <v>809</v>
      </c>
      <c r="K182" t="str" cm="1">
        <f t="array" ref="K182">_xlfn.IFS(J182&lt;600,"520-599",J182&lt;650,"600-649",J182&lt;700,"650-699",J182&lt;750,"700-749",TRUE,"750+")</f>
        <v>750+</v>
      </c>
      <c r="L182" t="str" cm="1">
        <f t="array" ref="L182">_xlfn.IFS(E182&lt;20,"1. Under 20",E182&lt;30,"2. 20-29",E182&lt;40,"3. 30-39",E182&lt;50,"4. 40-49",E182&lt;60,"5. 50-59",E182&lt;70,"6. 60-69",E182&lt;80,"7. 70-79",TRUE,"8. 80+")</f>
        <v>1. Under 20</v>
      </c>
      <c r="M182" t="str">
        <f t="shared" si="2"/>
        <v>2+ years</v>
      </c>
    </row>
    <row r="183" spans="1:13" x14ac:dyDescent="0.25">
      <c r="A183" t="s">
        <v>196</v>
      </c>
      <c r="B183" t="s">
        <v>17</v>
      </c>
      <c r="C183">
        <v>38800</v>
      </c>
      <c r="D183">
        <v>10.86</v>
      </c>
      <c r="E183">
        <v>58.6</v>
      </c>
      <c r="F183">
        <v>0</v>
      </c>
      <c r="G183" t="s">
        <v>7</v>
      </c>
      <c r="H183">
        <v>6</v>
      </c>
      <c r="I183">
        <v>55757</v>
      </c>
      <c r="J183">
        <v>778</v>
      </c>
      <c r="K183" t="str" cm="1">
        <f t="array" ref="K183">_xlfn.IFS(J183&lt;600,"520-599",J183&lt;650,"600-649",J183&lt;700,"650-699",J183&lt;750,"700-749",TRUE,"750+")</f>
        <v>750+</v>
      </c>
      <c r="L183" t="str" cm="1">
        <f t="array" ref="L183">_xlfn.IFS(E183&lt;20,"1. Under 20",E183&lt;30,"2. 20-29",E183&lt;40,"3. 30-39",E183&lt;50,"4. 40-49",E183&lt;60,"5. 50-59",E183&lt;70,"6. 60-69",E183&lt;80,"7. 70-79",TRUE,"8. 80+")</f>
        <v>5. 50-59</v>
      </c>
      <c r="M183" t="str">
        <f t="shared" si="2"/>
        <v>2+ years</v>
      </c>
    </row>
    <row r="184" spans="1:13" x14ac:dyDescent="0.25">
      <c r="A184" t="s">
        <v>197</v>
      </c>
      <c r="B184" t="s">
        <v>9</v>
      </c>
      <c r="C184">
        <v>35500</v>
      </c>
      <c r="D184">
        <v>7</v>
      </c>
      <c r="E184">
        <v>26.5</v>
      </c>
      <c r="F184">
        <v>0</v>
      </c>
      <c r="G184" t="s">
        <v>7</v>
      </c>
      <c r="H184">
        <v>0</v>
      </c>
      <c r="I184">
        <v>87725</v>
      </c>
      <c r="J184">
        <v>809</v>
      </c>
      <c r="K184" t="str" cm="1">
        <f t="array" ref="K184">_xlfn.IFS(J184&lt;600,"520-599",J184&lt;650,"600-649",J184&lt;700,"650-699",J184&lt;750,"700-749",TRUE,"750+")</f>
        <v>750+</v>
      </c>
      <c r="L184" t="str" cm="1">
        <f t="array" ref="L184">_xlfn.IFS(E184&lt;20,"1. Under 20",E184&lt;30,"2. 20-29",E184&lt;40,"3. 30-39",E184&lt;50,"4. 40-49",E184&lt;60,"5. 50-59",E184&lt;70,"6. 60-69",E184&lt;80,"7. 70-79",TRUE,"8. 80+")</f>
        <v>2. 20-29</v>
      </c>
      <c r="M184" t="str">
        <f t="shared" si="2"/>
        <v>Under 2 years</v>
      </c>
    </row>
    <row r="185" spans="1:13" x14ac:dyDescent="0.25">
      <c r="A185" t="s">
        <v>198</v>
      </c>
      <c r="B185" t="s">
        <v>1</v>
      </c>
      <c r="C185">
        <v>34400</v>
      </c>
      <c r="D185">
        <v>6.36</v>
      </c>
      <c r="E185">
        <v>64.8</v>
      </c>
      <c r="F185">
        <v>0</v>
      </c>
      <c r="G185" t="s">
        <v>7</v>
      </c>
      <c r="H185">
        <v>25</v>
      </c>
      <c r="I185">
        <v>46788</v>
      </c>
      <c r="J185">
        <v>849</v>
      </c>
      <c r="K185" t="str" cm="1">
        <f t="array" ref="K185">_xlfn.IFS(J185&lt;600,"520-599",J185&lt;650,"600-649",J185&lt;700,"650-699",J185&lt;750,"700-749",TRUE,"750+")</f>
        <v>750+</v>
      </c>
      <c r="L185" t="str" cm="1">
        <f t="array" ref="L185">_xlfn.IFS(E185&lt;20,"1. Under 20",E185&lt;30,"2. 20-29",E185&lt;40,"3. 30-39",E185&lt;50,"4. 40-49",E185&lt;60,"5. 50-59",E185&lt;70,"6. 60-69",E185&lt;80,"7. 70-79",TRUE,"8. 80+")</f>
        <v>6. 60-69</v>
      </c>
      <c r="M185" t="str">
        <f t="shared" si="2"/>
        <v>2+ years</v>
      </c>
    </row>
    <row r="186" spans="1:13" x14ac:dyDescent="0.25">
      <c r="A186" t="s">
        <v>199</v>
      </c>
      <c r="B186" t="s">
        <v>6</v>
      </c>
      <c r="C186">
        <v>36200</v>
      </c>
      <c r="D186">
        <v>9.35</v>
      </c>
      <c r="E186">
        <v>103.5</v>
      </c>
      <c r="F186">
        <v>1</v>
      </c>
      <c r="G186" t="s">
        <v>29</v>
      </c>
      <c r="H186">
        <v>14</v>
      </c>
      <c r="I186">
        <v>64193</v>
      </c>
      <c r="J186">
        <v>764</v>
      </c>
      <c r="K186" t="str" cm="1">
        <f t="array" ref="K186">_xlfn.IFS(J186&lt;600,"520-599",J186&lt;650,"600-649",J186&lt;700,"650-699",J186&lt;750,"700-749",TRUE,"750+")</f>
        <v>750+</v>
      </c>
      <c r="L186" t="str" cm="1">
        <f t="array" ref="L186">_xlfn.IFS(E186&lt;20,"1. Under 20",E186&lt;30,"2. 20-29",E186&lt;40,"3. 30-39",E186&lt;50,"4. 40-49",E186&lt;60,"5. 50-59",E186&lt;70,"6. 60-69",E186&lt;80,"7. 70-79",TRUE,"8. 80+")</f>
        <v>8. 80+</v>
      </c>
      <c r="M186" t="str">
        <f t="shared" si="2"/>
        <v>2+ years</v>
      </c>
    </row>
    <row r="187" spans="1:13" x14ac:dyDescent="0.25">
      <c r="A187" t="s">
        <v>200</v>
      </c>
      <c r="B187" t="s">
        <v>1</v>
      </c>
      <c r="C187">
        <v>31400</v>
      </c>
      <c r="D187">
        <v>11.24</v>
      </c>
      <c r="E187">
        <v>54.3</v>
      </c>
      <c r="F187">
        <v>0</v>
      </c>
      <c r="G187" t="s">
        <v>29</v>
      </c>
      <c r="H187">
        <v>12</v>
      </c>
      <c r="I187">
        <v>62044</v>
      </c>
      <c r="J187">
        <v>771</v>
      </c>
      <c r="K187" t="str" cm="1">
        <f t="array" ref="K187">_xlfn.IFS(J187&lt;600,"520-599",J187&lt;650,"600-649",J187&lt;700,"650-699",J187&lt;750,"700-749",TRUE,"750+")</f>
        <v>750+</v>
      </c>
      <c r="L187" t="str" cm="1">
        <f t="array" ref="L187">_xlfn.IFS(E187&lt;20,"1. Under 20",E187&lt;30,"2. 20-29",E187&lt;40,"3. 30-39",E187&lt;50,"4. 40-49",E187&lt;60,"5. 50-59",E187&lt;70,"6. 60-69",E187&lt;80,"7. 70-79",TRUE,"8. 80+")</f>
        <v>5. 50-59</v>
      </c>
      <c r="M187" t="str">
        <f t="shared" si="2"/>
        <v>2+ years</v>
      </c>
    </row>
    <row r="188" spans="1:13" x14ac:dyDescent="0.25">
      <c r="A188" t="s">
        <v>201</v>
      </c>
      <c r="B188" t="s">
        <v>21</v>
      </c>
      <c r="C188">
        <v>7700</v>
      </c>
      <c r="D188">
        <v>11.43</v>
      </c>
      <c r="E188">
        <v>32.9</v>
      </c>
      <c r="F188">
        <v>0</v>
      </c>
      <c r="G188" t="s">
        <v>29</v>
      </c>
      <c r="H188">
        <v>12</v>
      </c>
      <c r="I188">
        <v>62044</v>
      </c>
      <c r="J188">
        <v>771</v>
      </c>
      <c r="K188" t="str" cm="1">
        <f t="array" ref="K188">_xlfn.IFS(J188&lt;600,"520-599",J188&lt;650,"600-649",J188&lt;700,"650-699",J188&lt;750,"700-749",TRUE,"750+")</f>
        <v>750+</v>
      </c>
      <c r="L188" t="str" cm="1">
        <f t="array" ref="L188">_xlfn.IFS(E188&lt;20,"1. Under 20",E188&lt;30,"2. 20-29",E188&lt;40,"3. 30-39",E188&lt;50,"4. 40-49",E188&lt;60,"5. 50-59",E188&lt;70,"6. 60-69",E188&lt;80,"7. 70-79",TRUE,"8. 80+")</f>
        <v>3. 30-39</v>
      </c>
      <c r="M188" t="str">
        <f t="shared" si="2"/>
        <v>2+ years</v>
      </c>
    </row>
    <row r="189" spans="1:13" x14ac:dyDescent="0.25">
      <c r="A189" t="s">
        <v>202</v>
      </c>
      <c r="B189" t="s">
        <v>4</v>
      </c>
      <c r="C189">
        <v>39600</v>
      </c>
      <c r="D189">
        <v>9.0399999999999991</v>
      </c>
      <c r="E189">
        <v>114.2</v>
      </c>
      <c r="F189">
        <v>0</v>
      </c>
      <c r="G189" t="s">
        <v>10</v>
      </c>
      <c r="H189">
        <v>0</v>
      </c>
      <c r="I189">
        <v>66474</v>
      </c>
      <c r="J189">
        <v>663</v>
      </c>
      <c r="K189" t="str" cm="1">
        <f t="array" ref="K189">_xlfn.IFS(J189&lt;600,"520-599",J189&lt;650,"600-649",J189&lt;700,"650-699",J189&lt;750,"700-749",TRUE,"750+")</f>
        <v>650-699</v>
      </c>
      <c r="L189" t="str" cm="1">
        <f t="array" ref="L189">_xlfn.IFS(E189&lt;20,"1. Under 20",E189&lt;30,"2. 20-29",E189&lt;40,"3. 30-39",E189&lt;50,"4. 40-49",E189&lt;60,"5. 50-59",E189&lt;70,"6. 60-69",E189&lt;80,"7. 70-79",TRUE,"8. 80+")</f>
        <v>8. 80+</v>
      </c>
      <c r="M189" t="str">
        <f t="shared" si="2"/>
        <v>Under 2 years</v>
      </c>
    </row>
    <row r="190" spans="1:13" x14ac:dyDescent="0.25">
      <c r="A190" t="s">
        <v>203</v>
      </c>
      <c r="B190" t="s">
        <v>6</v>
      </c>
      <c r="C190">
        <v>24500</v>
      </c>
      <c r="D190">
        <v>9.17</v>
      </c>
      <c r="E190">
        <v>65.8</v>
      </c>
      <c r="F190">
        <v>0</v>
      </c>
      <c r="G190" t="s">
        <v>10</v>
      </c>
      <c r="H190">
        <v>0</v>
      </c>
      <c r="I190">
        <v>66474</v>
      </c>
      <c r="J190">
        <v>663</v>
      </c>
      <c r="K190" t="str" cm="1">
        <f t="array" ref="K190">_xlfn.IFS(J190&lt;600,"520-599",J190&lt;650,"600-649",J190&lt;700,"650-699",J190&lt;750,"700-749",TRUE,"750+")</f>
        <v>650-699</v>
      </c>
      <c r="L190" t="str" cm="1">
        <f t="array" ref="L190">_xlfn.IFS(E190&lt;20,"1. Under 20",E190&lt;30,"2. 20-29",E190&lt;40,"3. 30-39",E190&lt;50,"4. 40-49",E190&lt;60,"5. 50-59",E190&lt;70,"6. 60-69",E190&lt;80,"7. 70-79",TRUE,"8. 80+")</f>
        <v>6. 60-69</v>
      </c>
      <c r="M190" t="str">
        <f t="shared" si="2"/>
        <v>Under 2 years</v>
      </c>
    </row>
    <row r="191" spans="1:13" x14ac:dyDescent="0.25">
      <c r="A191" t="s">
        <v>204</v>
      </c>
      <c r="B191" t="s">
        <v>19</v>
      </c>
      <c r="C191">
        <v>11600</v>
      </c>
      <c r="D191">
        <v>9.86</v>
      </c>
      <c r="E191">
        <v>32.5</v>
      </c>
      <c r="F191">
        <v>0</v>
      </c>
      <c r="G191" t="s">
        <v>10</v>
      </c>
      <c r="H191">
        <v>17</v>
      </c>
      <c r="I191">
        <v>79058</v>
      </c>
      <c r="J191">
        <v>617</v>
      </c>
      <c r="K191" t="str" cm="1">
        <f t="array" ref="K191">_xlfn.IFS(J191&lt;600,"520-599",J191&lt;650,"600-649",J191&lt;700,"650-699",J191&lt;750,"700-749",TRUE,"750+")</f>
        <v>600-649</v>
      </c>
      <c r="L191" t="str" cm="1">
        <f t="array" ref="L191">_xlfn.IFS(E191&lt;20,"1. Under 20",E191&lt;30,"2. 20-29",E191&lt;40,"3. 30-39",E191&lt;50,"4. 40-49",E191&lt;60,"5. 50-59",E191&lt;70,"6. 60-69",E191&lt;80,"7. 70-79",TRUE,"8. 80+")</f>
        <v>3. 30-39</v>
      </c>
      <c r="M191" t="str">
        <f t="shared" si="2"/>
        <v>2+ years</v>
      </c>
    </row>
    <row r="192" spans="1:13" x14ac:dyDescent="0.25">
      <c r="A192" t="s">
        <v>205</v>
      </c>
      <c r="B192" t="s">
        <v>13</v>
      </c>
      <c r="C192">
        <v>43000</v>
      </c>
      <c r="D192">
        <v>10.93</v>
      </c>
      <c r="E192">
        <v>41</v>
      </c>
      <c r="F192">
        <v>1</v>
      </c>
      <c r="G192" t="s">
        <v>10</v>
      </c>
      <c r="H192">
        <v>17</v>
      </c>
      <c r="I192">
        <v>79058</v>
      </c>
      <c r="J192">
        <v>617</v>
      </c>
      <c r="K192" t="str" cm="1">
        <f t="array" ref="K192">_xlfn.IFS(J192&lt;600,"520-599",J192&lt;650,"600-649",J192&lt;700,"650-699",J192&lt;750,"700-749",TRUE,"750+")</f>
        <v>600-649</v>
      </c>
      <c r="L192" t="str" cm="1">
        <f t="array" ref="L192">_xlfn.IFS(E192&lt;20,"1. Under 20",E192&lt;30,"2. 20-29",E192&lt;40,"3. 30-39",E192&lt;50,"4. 40-49",E192&lt;60,"5. 50-59",E192&lt;70,"6. 60-69",E192&lt;80,"7. 70-79",TRUE,"8. 80+")</f>
        <v>4. 40-49</v>
      </c>
      <c r="M192" t="str">
        <f t="shared" si="2"/>
        <v>2+ years</v>
      </c>
    </row>
    <row r="193" spans="1:13" x14ac:dyDescent="0.25">
      <c r="A193" t="s">
        <v>206</v>
      </c>
      <c r="B193" t="s">
        <v>6</v>
      </c>
      <c r="C193">
        <v>11200</v>
      </c>
      <c r="D193">
        <v>8.16</v>
      </c>
      <c r="E193">
        <v>57.9</v>
      </c>
      <c r="F193">
        <v>0</v>
      </c>
      <c r="G193" t="s">
        <v>10</v>
      </c>
      <c r="H193">
        <v>1</v>
      </c>
      <c r="I193">
        <v>134434</v>
      </c>
      <c r="J193">
        <v>762</v>
      </c>
      <c r="K193" t="str" cm="1">
        <f t="array" ref="K193">_xlfn.IFS(J193&lt;600,"520-599",J193&lt;650,"600-649",J193&lt;700,"650-699",J193&lt;750,"700-749",TRUE,"750+")</f>
        <v>750+</v>
      </c>
      <c r="L193" t="str" cm="1">
        <f t="array" ref="L193">_xlfn.IFS(E193&lt;20,"1. Under 20",E193&lt;30,"2. 20-29",E193&lt;40,"3. 30-39",E193&lt;50,"4. 40-49",E193&lt;60,"5. 50-59",E193&lt;70,"6. 60-69",E193&lt;80,"7. 70-79",TRUE,"8. 80+")</f>
        <v>5. 50-59</v>
      </c>
      <c r="M193" t="str">
        <f t="shared" si="2"/>
        <v>Under 2 years</v>
      </c>
    </row>
    <row r="194" spans="1:13" x14ac:dyDescent="0.25">
      <c r="A194" t="s">
        <v>207</v>
      </c>
      <c r="B194" t="s">
        <v>1</v>
      </c>
      <c r="C194">
        <v>15600</v>
      </c>
      <c r="D194">
        <v>11.77</v>
      </c>
      <c r="E194">
        <v>60.9</v>
      </c>
      <c r="F194">
        <v>1</v>
      </c>
      <c r="G194" t="s">
        <v>7</v>
      </c>
      <c r="H194">
        <v>25</v>
      </c>
      <c r="I194">
        <v>33977</v>
      </c>
      <c r="J194">
        <v>696</v>
      </c>
      <c r="K194" t="str" cm="1">
        <f t="array" ref="K194">_xlfn.IFS(J194&lt;600,"520-599",J194&lt;650,"600-649",J194&lt;700,"650-699",J194&lt;750,"700-749",TRUE,"750+")</f>
        <v>650-699</v>
      </c>
      <c r="L194" t="str" cm="1">
        <f t="array" ref="L194">_xlfn.IFS(E194&lt;20,"1. Under 20",E194&lt;30,"2. 20-29",E194&lt;40,"3. 30-39",E194&lt;50,"4. 40-49",E194&lt;60,"5. 50-59",E194&lt;70,"6. 60-69",E194&lt;80,"7. 70-79",TRUE,"8. 80+")</f>
        <v>6. 60-69</v>
      </c>
      <c r="M194" t="str">
        <f t="shared" si="2"/>
        <v>2+ years</v>
      </c>
    </row>
    <row r="195" spans="1:13" x14ac:dyDescent="0.25">
      <c r="A195" t="s">
        <v>208</v>
      </c>
      <c r="B195" t="s">
        <v>4</v>
      </c>
      <c r="C195">
        <v>12900</v>
      </c>
      <c r="D195">
        <v>9.64</v>
      </c>
      <c r="E195">
        <v>61.1</v>
      </c>
      <c r="F195">
        <v>1</v>
      </c>
      <c r="G195" t="s">
        <v>2</v>
      </c>
      <c r="H195">
        <v>0</v>
      </c>
      <c r="I195">
        <v>94849</v>
      </c>
      <c r="J195">
        <v>850</v>
      </c>
      <c r="K195" t="str" cm="1">
        <f t="array" ref="K195">_xlfn.IFS(J195&lt;600,"520-599",J195&lt;650,"600-649",J195&lt;700,"650-699",J195&lt;750,"700-749",TRUE,"750+")</f>
        <v>750+</v>
      </c>
      <c r="L195" t="str" cm="1">
        <f t="array" ref="L195">_xlfn.IFS(E195&lt;20,"1. Under 20",E195&lt;30,"2. 20-29",E195&lt;40,"3. 30-39",E195&lt;50,"4. 40-49",E195&lt;60,"5. 50-59",E195&lt;70,"6. 60-69",E195&lt;80,"7. 70-79",TRUE,"8. 80+")</f>
        <v>6. 60-69</v>
      </c>
      <c r="M195" t="str">
        <f t="shared" ref="M195:M258" si="3">IF(H195&lt;2,"Under 2 years","2+ years")</f>
        <v>Under 2 years</v>
      </c>
    </row>
    <row r="196" spans="1:13" x14ac:dyDescent="0.25">
      <c r="A196" t="s">
        <v>209</v>
      </c>
      <c r="B196" t="s">
        <v>6</v>
      </c>
      <c r="C196">
        <v>34000</v>
      </c>
      <c r="D196">
        <v>8.6199999999999992</v>
      </c>
      <c r="E196">
        <v>60.4</v>
      </c>
      <c r="F196">
        <v>1</v>
      </c>
      <c r="G196" t="s">
        <v>2</v>
      </c>
      <c r="H196">
        <v>0</v>
      </c>
      <c r="I196">
        <v>94849</v>
      </c>
      <c r="J196">
        <v>850</v>
      </c>
      <c r="K196" t="str" cm="1">
        <f t="array" ref="K196">_xlfn.IFS(J196&lt;600,"520-599",J196&lt;650,"600-649",J196&lt;700,"650-699",J196&lt;750,"700-749",TRUE,"750+")</f>
        <v>750+</v>
      </c>
      <c r="L196" t="str" cm="1">
        <f t="array" ref="L196">_xlfn.IFS(E196&lt;20,"1. Under 20",E196&lt;30,"2. 20-29",E196&lt;40,"3. 30-39",E196&lt;50,"4. 40-49",E196&lt;60,"5. 50-59",E196&lt;70,"6. 60-69",E196&lt;80,"7. 70-79",TRUE,"8. 80+")</f>
        <v>6. 60-69</v>
      </c>
      <c r="M196" t="str">
        <f t="shared" si="3"/>
        <v>Under 2 years</v>
      </c>
    </row>
    <row r="197" spans="1:13" x14ac:dyDescent="0.25">
      <c r="A197" t="s">
        <v>210</v>
      </c>
      <c r="B197" t="s">
        <v>9</v>
      </c>
      <c r="C197">
        <v>31800</v>
      </c>
      <c r="D197">
        <v>9.85</v>
      </c>
      <c r="E197">
        <v>56.2</v>
      </c>
      <c r="F197">
        <v>1</v>
      </c>
      <c r="G197" t="s">
        <v>23</v>
      </c>
      <c r="H197">
        <v>15</v>
      </c>
      <c r="I197">
        <v>50003</v>
      </c>
      <c r="J197">
        <v>677</v>
      </c>
      <c r="K197" t="str" cm="1">
        <f t="array" ref="K197">_xlfn.IFS(J197&lt;600,"520-599",J197&lt;650,"600-649",J197&lt;700,"650-699",J197&lt;750,"700-749",TRUE,"750+")</f>
        <v>650-699</v>
      </c>
      <c r="L197" t="str" cm="1">
        <f t="array" ref="L197">_xlfn.IFS(E197&lt;20,"1. Under 20",E197&lt;30,"2. 20-29",E197&lt;40,"3. 30-39",E197&lt;50,"4. 40-49",E197&lt;60,"5. 50-59",E197&lt;70,"6. 60-69",E197&lt;80,"7. 70-79",TRUE,"8. 80+")</f>
        <v>5. 50-59</v>
      </c>
      <c r="M197" t="str">
        <f t="shared" si="3"/>
        <v>2+ years</v>
      </c>
    </row>
    <row r="198" spans="1:13" x14ac:dyDescent="0.25">
      <c r="A198" t="s">
        <v>211</v>
      </c>
      <c r="B198" t="s">
        <v>17</v>
      </c>
      <c r="C198">
        <v>40500</v>
      </c>
      <c r="D198">
        <v>6.81</v>
      </c>
      <c r="E198">
        <v>56.1</v>
      </c>
      <c r="F198">
        <v>0</v>
      </c>
      <c r="G198" t="s">
        <v>7</v>
      </c>
      <c r="H198">
        <v>34</v>
      </c>
      <c r="I198">
        <v>98348</v>
      </c>
      <c r="J198">
        <v>845</v>
      </c>
      <c r="K198" t="str" cm="1">
        <f t="array" ref="K198">_xlfn.IFS(J198&lt;600,"520-599",J198&lt;650,"600-649",J198&lt;700,"650-699",J198&lt;750,"700-749",TRUE,"750+")</f>
        <v>750+</v>
      </c>
      <c r="L198" t="str" cm="1">
        <f t="array" ref="L198">_xlfn.IFS(E198&lt;20,"1. Under 20",E198&lt;30,"2. 20-29",E198&lt;40,"3. 30-39",E198&lt;50,"4. 40-49",E198&lt;60,"5. 50-59",E198&lt;70,"6. 60-69",E198&lt;80,"7. 70-79",TRUE,"8. 80+")</f>
        <v>5. 50-59</v>
      </c>
      <c r="M198" t="str">
        <f t="shared" si="3"/>
        <v>2+ years</v>
      </c>
    </row>
    <row r="199" spans="1:13" x14ac:dyDescent="0.25">
      <c r="A199" t="s">
        <v>212</v>
      </c>
      <c r="B199" t="s">
        <v>17</v>
      </c>
      <c r="C199">
        <v>7000</v>
      </c>
      <c r="D199">
        <v>12.59</v>
      </c>
      <c r="E199">
        <v>29.2</v>
      </c>
      <c r="F199">
        <v>1</v>
      </c>
      <c r="G199" t="s">
        <v>23</v>
      </c>
      <c r="H199">
        <v>5</v>
      </c>
      <c r="I199">
        <v>30770</v>
      </c>
      <c r="J199">
        <v>738</v>
      </c>
      <c r="K199" t="str" cm="1">
        <f t="array" ref="K199">_xlfn.IFS(J199&lt;600,"520-599",J199&lt;650,"600-649",J199&lt;700,"650-699",J199&lt;750,"700-749",TRUE,"750+")</f>
        <v>700-749</v>
      </c>
      <c r="L199" t="str" cm="1">
        <f t="array" ref="L199">_xlfn.IFS(E199&lt;20,"1. Under 20",E199&lt;30,"2. 20-29",E199&lt;40,"3. 30-39",E199&lt;50,"4. 40-49",E199&lt;60,"5. 50-59",E199&lt;70,"6. 60-69",E199&lt;80,"7. 70-79",TRUE,"8. 80+")</f>
        <v>2. 20-29</v>
      </c>
      <c r="M199" t="str">
        <f t="shared" si="3"/>
        <v>2+ years</v>
      </c>
    </row>
    <row r="200" spans="1:13" x14ac:dyDescent="0.25">
      <c r="A200" t="s">
        <v>213</v>
      </c>
      <c r="B200" t="s">
        <v>26</v>
      </c>
      <c r="C200">
        <v>21400</v>
      </c>
      <c r="D200">
        <v>15.11</v>
      </c>
      <c r="E200">
        <v>71.099999999999994</v>
      </c>
      <c r="F200">
        <v>1</v>
      </c>
      <c r="G200" t="s">
        <v>2</v>
      </c>
      <c r="H200">
        <v>24</v>
      </c>
      <c r="I200">
        <v>72986</v>
      </c>
      <c r="J200">
        <v>545</v>
      </c>
      <c r="K200" t="str" cm="1">
        <f t="array" ref="K200">_xlfn.IFS(J200&lt;600,"520-599",J200&lt;650,"600-649",J200&lt;700,"650-699",J200&lt;750,"700-749",TRUE,"750+")</f>
        <v>520-599</v>
      </c>
      <c r="L200" t="str" cm="1">
        <f t="array" ref="L200">_xlfn.IFS(E200&lt;20,"1. Under 20",E200&lt;30,"2. 20-29",E200&lt;40,"3. 30-39",E200&lt;50,"4. 40-49",E200&lt;60,"5. 50-59",E200&lt;70,"6. 60-69",E200&lt;80,"7. 70-79",TRUE,"8. 80+")</f>
        <v>7. 70-79</v>
      </c>
      <c r="M200" t="str">
        <f t="shared" si="3"/>
        <v>2+ years</v>
      </c>
    </row>
    <row r="201" spans="1:13" x14ac:dyDescent="0.25">
      <c r="A201" t="s">
        <v>214</v>
      </c>
      <c r="B201" t="s">
        <v>4</v>
      </c>
      <c r="C201">
        <v>30000</v>
      </c>
      <c r="D201">
        <v>13.97</v>
      </c>
      <c r="E201">
        <v>27.9</v>
      </c>
      <c r="F201">
        <v>0</v>
      </c>
      <c r="G201" t="s">
        <v>7</v>
      </c>
      <c r="H201">
        <v>3</v>
      </c>
      <c r="I201">
        <v>60396</v>
      </c>
      <c r="J201">
        <v>658</v>
      </c>
      <c r="K201" t="str" cm="1">
        <f t="array" ref="K201">_xlfn.IFS(J201&lt;600,"520-599",J201&lt;650,"600-649",J201&lt;700,"650-699",J201&lt;750,"700-749",TRUE,"750+")</f>
        <v>650-699</v>
      </c>
      <c r="L201" t="str" cm="1">
        <f t="array" ref="L201">_xlfn.IFS(E201&lt;20,"1. Under 20",E201&lt;30,"2. 20-29",E201&lt;40,"3. 30-39",E201&lt;50,"4. 40-49",E201&lt;60,"5. 50-59",E201&lt;70,"6. 60-69",E201&lt;80,"7. 70-79",TRUE,"8. 80+")</f>
        <v>2. 20-29</v>
      </c>
      <c r="M201" t="str">
        <f t="shared" si="3"/>
        <v>2+ years</v>
      </c>
    </row>
    <row r="202" spans="1:13" x14ac:dyDescent="0.25">
      <c r="A202" t="s">
        <v>215</v>
      </c>
      <c r="B202" t="s">
        <v>1</v>
      </c>
      <c r="C202">
        <v>28300</v>
      </c>
      <c r="D202">
        <v>7.71</v>
      </c>
      <c r="E202">
        <v>65.099999999999994</v>
      </c>
      <c r="F202">
        <v>0</v>
      </c>
      <c r="G202" t="s">
        <v>10</v>
      </c>
      <c r="H202">
        <v>22</v>
      </c>
      <c r="I202">
        <v>51770</v>
      </c>
      <c r="J202">
        <v>767</v>
      </c>
      <c r="K202" t="str" cm="1">
        <f t="array" ref="K202">_xlfn.IFS(J202&lt;600,"520-599",J202&lt;650,"600-649",J202&lt;700,"650-699",J202&lt;750,"700-749",TRUE,"750+")</f>
        <v>750+</v>
      </c>
      <c r="L202" t="str" cm="1">
        <f t="array" ref="L202">_xlfn.IFS(E202&lt;20,"1. Under 20",E202&lt;30,"2. 20-29",E202&lt;40,"3. 30-39",E202&lt;50,"4. 40-49",E202&lt;60,"5. 50-59",E202&lt;70,"6. 60-69",E202&lt;80,"7. 70-79",TRUE,"8. 80+")</f>
        <v>6. 60-69</v>
      </c>
      <c r="M202" t="str">
        <f t="shared" si="3"/>
        <v>2+ years</v>
      </c>
    </row>
    <row r="203" spans="1:13" x14ac:dyDescent="0.25">
      <c r="A203" t="s">
        <v>216</v>
      </c>
      <c r="B203" t="s">
        <v>26</v>
      </c>
      <c r="C203">
        <v>9300</v>
      </c>
      <c r="D203">
        <v>13.93</v>
      </c>
      <c r="E203">
        <v>50.9</v>
      </c>
      <c r="F203">
        <v>0</v>
      </c>
      <c r="G203" t="s">
        <v>7</v>
      </c>
      <c r="H203">
        <v>20</v>
      </c>
      <c r="I203">
        <v>50247</v>
      </c>
      <c r="J203">
        <v>551</v>
      </c>
      <c r="K203" t="str" cm="1">
        <f t="array" ref="K203">_xlfn.IFS(J203&lt;600,"520-599",J203&lt;650,"600-649",J203&lt;700,"650-699",J203&lt;750,"700-749",TRUE,"750+")</f>
        <v>520-599</v>
      </c>
      <c r="L203" t="str" cm="1">
        <f t="array" ref="L203">_xlfn.IFS(E203&lt;20,"1. Under 20",E203&lt;30,"2. 20-29",E203&lt;40,"3. 30-39",E203&lt;50,"4. 40-49",E203&lt;60,"5. 50-59",E203&lt;70,"6. 60-69",E203&lt;80,"7. 70-79",TRUE,"8. 80+")</f>
        <v>5. 50-59</v>
      </c>
      <c r="M203" t="str">
        <f t="shared" si="3"/>
        <v>2+ years</v>
      </c>
    </row>
    <row r="204" spans="1:13" x14ac:dyDescent="0.25">
      <c r="A204" t="s">
        <v>217</v>
      </c>
      <c r="B204" t="s">
        <v>9</v>
      </c>
      <c r="C204">
        <v>21500</v>
      </c>
      <c r="D204">
        <v>10.93</v>
      </c>
      <c r="E204">
        <v>67</v>
      </c>
      <c r="F204">
        <v>0</v>
      </c>
      <c r="G204" t="s">
        <v>2</v>
      </c>
      <c r="H204">
        <v>3</v>
      </c>
      <c r="I204">
        <v>38228</v>
      </c>
      <c r="J204">
        <v>707</v>
      </c>
      <c r="K204" t="str" cm="1">
        <f t="array" ref="K204">_xlfn.IFS(J204&lt;600,"520-599",J204&lt;650,"600-649",J204&lt;700,"650-699",J204&lt;750,"700-749",TRUE,"750+")</f>
        <v>700-749</v>
      </c>
      <c r="L204" t="str" cm="1">
        <f t="array" ref="L204">_xlfn.IFS(E204&lt;20,"1. Under 20",E204&lt;30,"2. 20-29",E204&lt;40,"3. 30-39",E204&lt;50,"4. 40-49",E204&lt;60,"5. 50-59",E204&lt;70,"6. 60-69",E204&lt;80,"7. 70-79",TRUE,"8. 80+")</f>
        <v>6. 60-69</v>
      </c>
      <c r="M204" t="str">
        <f t="shared" si="3"/>
        <v>2+ years</v>
      </c>
    </row>
    <row r="205" spans="1:13" x14ac:dyDescent="0.25">
      <c r="A205" t="s">
        <v>218</v>
      </c>
      <c r="B205" t="s">
        <v>4</v>
      </c>
      <c r="C205">
        <v>42900</v>
      </c>
      <c r="D205">
        <v>9.85</v>
      </c>
      <c r="E205">
        <v>33.299999999999997</v>
      </c>
      <c r="F205">
        <v>0</v>
      </c>
      <c r="G205" t="s">
        <v>2</v>
      </c>
      <c r="H205">
        <v>10</v>
      </c>
      <c r="I205">
        <v>131359</v>
      </c>
      <c r="J205">
        <v>747</v>
      </c>
      <c r="K205" t="str" cm="1">
        <f t="array" ref="K205">_xlfn.IFS(J205&lt;600,"520-599",J205&lt;650,"600-649",J205&lt;700,"650-699",J205&lt;750,"700-749",TRUE,"750+")</f>
        <v>700-749</v>
      </c>
      <c r="L205" t="str" cm="1">
        <f t="array" ref="L205">_xlfn.IFS(E205&lt;20,"1. Under 20",E205&lt;30,"2. 20-29",E205&lt;40,"3. 30-39",E205&lt;50,"4. 40-49",E205&lt;60,"5. 50-59",E205&lt;70,"6. 60-69",E205&lt;80,"7. 70-79",TRUE,"8. 80+")</f>
        <v>3. 30-39</v>
      </c>
      <c r="M205" t="str">
        <f t="shared" si="3"/>
        <v>2+ years</v>
      </c>
    </row>
    <row r="206" spans="1:13" x14ac:dyDescent="0.25">
      <c r="A206" t="s">
        <v>219</v>
      </c>
      <c r="B206" t="s">
        <v>15</v>
      </c>
      <c r="C206">
        <v>8500</v>
      </c>
      <c r="D206">
        <v>9.99</v>
      </c>
      <c r="E206">
        <v>25.3</v>
      </c>
      <c r="F206">
        <v>0</v>
      </c>
      <c r="G206" t="s">
        <v>2</v>
      </c>
      <c r="H206">
        <v>10</v>
      </c>
      <c r="I206">
        <v>131359</v>
      </c>
      <c r="J206">
        <v>747</v>
      </c>
      <c r="K206" t="str" cm="1">
        <f t="array" ref="K206">_xlfn.IFS(J206&lt;600,"520-599",J206&lt;650,"600-649",J206&lt;700,"650-699",J206&lt;750,"700-749",TRUE,"750+")</f>
        <v>700-749</v>
      </c>
      <c r="L206" t="str" cm="1">
        <f t="array" ref="L206">_xlfn.IFS(E206&lt;20,"1. Under 20",E206&lt;30,"2. 20-29",E206&lt;40,"3. 30-39",E206&lt;50,"4. 40-49",E206&lt;60,"5. 50-59",E206&lt;70,"6. 60-69",E206&lt;80,"7. 70-79",TRUE,"8. 80+")</f>
        <v>2. 20-29</v>
      </c>
      <c r="M206" t="str">
        <f t="shared" si="3"/>
        <v>2+ years</v>
      </c>
    </row>
    <row r="207" spans="1:13" x14ac:dyDescent="0.25">
      <c r="A207" t="s">
        <v>220</v>
      </c>
      <c r="B207" t="s">
        <v>1</v>
      </c>
      <c r="C207">
        <v>36800</v>
      </c>
      <c r="D207">
        <v>7.78</v>
      </c>
      <c r="E207">
        <v>39.5</v>
      </c>
      <c r="F207">
        <v>0</v>
      </c>
      <c r="G207" t="s">
        <v>7</v>
      </c>
      <c r="H207">
        <v>11</v>
      </c>
      <c r="I207">
        <v>49011</v>
      </c>
      <c r="J207">
        <v>750</v>
      </c>
      <c r="K207" t="str" cm="1">
        <f t="array" ref="K207">_xlfn.IFS(J207&lt;600,"520-599",J207&lt;650,"600-649",J207&lt;700,"650-699",J207&lt;750,"700-749",TRUE,"750+")</f>
        <v>750+</v>
      </c>
      <c r="L207" t="str" cm="1">
        <f t="array" ref="L207">_xlfn.IFS(E207&lt;20,"1. Under 20",E207&lt;30,"2. 20-29",E207&lt;40,"3. 30-39",E207&lt;50,"4. 40-49",E207&lt;60,"5. 50-59",E207&lt;70,"6. 60-69",E207&lt;80,"7. 70-79",TRUE,"8. 80+")</f>
        <v>3. 30-39</v>
      </c>
      <c r="M207" t="str">
        <f t="shared" si="3"/>
        <v>2+ years</v>
      </c>
    </row>
    <row r="208" spans="1:13" x14ac:dyDescent="0.25">
      <c r="A208" t="s">
        <v>221</v>
      </c>
      <c r="B208" t="s">
        <v>9</v>
      </c>
      <c r="C208">
        <v>2500</v>
      </c>
      <c r="D208">
        <v>8.11</v>
      </c>
      <c r="E208">
        <v>32.299999999999997</v>
      </c>
      <c r="F208">
        <v>0</v>
      </c>
      <c r="G208" t="s">
        <v>23</v>
      </c>
      <c r="H208">
        <v>11</v>
      </c>
      <c r="I208">
        <v>26997</v>
      </c>
      <c r="J208">
        <v>752</v>
      </c>
      <c r="K208" t="str" cm="1">
        <f t="array" ref="K208">_xlfn.IFS(J208&lt;600,"520-599",J208&lt;650,"600-649",J208&lt;700,"650-699",J208&lt;750,"700-749",TRUE,"750+")</f>
        <v>750+</v>
      </c>
      <c r="L208" t="str" cm="1">
        <f t="array" ref="L208">_xlfn.IFS(E208&lt;20,"1. Under 20",E208&lt;30,"2. 20-29",E208&lt;40,"3. 30-39",E208&lt;50,"4. 40-49",E208&lt;60,"5. 50-59",E208&lt;70,"6. 60-69",E208&lt;80,"7. 70-79",TRUE,"8. 80+")</f>
        <v>3. 30-39</v>
      </c>
      <c r="M208" t="str">
        <f t="shared" si="3"/>
        <v>2+ years</v>
      </c>
    </row>
    <row r="209" spans="1:13" x14ac:dyDescent="0.25">
      <c r="A209" t="s">
        <v>222</v>
      </c>
      <c r="B209" t="s">
        <v>13</v>
      </c>
      <c r="C209">
        <v>15400</v>
      </c>
      <c r="D209">
        <v>12.59</v>
      </c>
      <c r="E209">
        <v>56.6</v>
      </c>
      <c r="F209">
        <v>0</v>
      </c>
      <c r="G209" t="s">
        <v>29</v>
      </c>
      <c r="H209">
        <v>21</v>
      </c>
      <c r="I209">
        <v>43915</v>
      </c>
      <c r="J209">
        <v>568</v>
      </c>
      <c r="K209" t="str" cm="1">
        <f t="array" ref="K209">_xlfn.IFS(J209&lt;600,"520-599",J209&lt;650,"600-649",J209&lt;700,"650-699",J209&lt;750,"700-749",TRUE,"750+")</f>
        <v>520-599</v>
      </c>
      <c r="L209" t="str" cm="1">
        <f t="array" ref="L209">_xlfn.IFS(E209&lt;20,"1. Under 20",E209&lt;30,"2. 20-29",E209&lt;40,"3. 30-39",E209&lt;50,"4. 40-49",E209&lt;60,"5. 50-59",E209&lt;70,"6. 60-69",E209&lt;80,"7. 70-79",TRUE,"8. 80+")</f>
        <v>5. 50-59</v>
      </c>
      <c r="M209" t="str">
        <f t="shared" si="3"/>
        <v>2+ years</v>
      </c>
    </row>
    <row r="210" spans="1:13" x14ac:dyDescent="0.25">
      <c r="A210" t="s">
        <v>223</v>
      </c>
      <c r="B210" t="s">
        <v>26</v>
      </c>
      <c r="C210">
        <v>12800</v>
      </c>
      <c r="D210">
        <v>11.11</v>
      </c>
      <c r="E210">
        <v>54</v>
      </c>
      <c r="F210">
        <v>1</v>
      </c>
      <c r="G210" t="s">
        <v>29</v>
      </c>
      <c r="H210">
        <v>21</v>
      </c>
      <c r="I210">
        <v>43915</v>
      </c>
      <c r="J210">
        <v>568</v>
      </c>
      <c r="K210" t="str" cm="1">
        <f t="array" ref="K210">_xlfn.IFS(J210&lt;600,"520-599",J210&lt;650,"600-649",J210&lt;700,"650-699",J210&lt;750,"700-749",TRUE,"750+")</f>
        <v>520-599</v>
      </c>
      <c r="L210" t="str" cm="1">
        <f t="array" ref="L210">_xlfn.IFS(E210&lt;20,"1. Under 20",E210&lt;30,"2. 20-29",E210&lt;40,"3. 30-39",E210&lt;50,"4. 40-49",E210&lt;60,"5. 50-59",E210&lt;70,"6. 60-69",E210&lt;80,"7. 70-79",TRUE,"8. 80+")</f>
        <v>5. 50-59</v>
      </c>
      <c r="M210" t="str">
        <f t="shared" si="3"/>
        <v>2+ years</v>
      </c>
    </row>
    <row r="211" spans="1:13" x14ac:dyDescent="0.25">
      <c r="A211" t="s">
        <v>224</v>
      </c>
      <c r="B211" t="s">
        <v>4</v>
      </c>
      <c r="C211">
        <v>45300</v>
      </c>
      <c r="D211">
        <v>7.2</v>
      </c>
      <c r="E211">
        <v>36.299999999999997</v>
      </c>
      <c r="F211">
        <v>0</v>
      </c>
      <c r="G211" t="s">
        <v>7</v>
      </c>
      <c r="H211">
        <v>0</v>
      </c>
      <c r="I211">
        <v>129991</v>
      </c>
      <c r="J211">
        <v>774</v>
      </c>
      <c r="K211" t="str" cm="1">
        <f t="array" ref="K211">_xlfn.IFS(J211&lt;600,"520-599",J211&lt;650,"600-649",J211&lt;700,"650-699",J211&lt;750,"700-749",TRUE,"750+")</f>
        <v>750+</v>
      </c>
      <c r="L211" t="str" cm="1">
        <f t="array" ref="L211">_xlfn.IFS(E211&lt;20,"1. Under 20",E211&lt;30,"2. 20-29",E211&lt;40,"3. 30-39",E211&lt;50,"4. 40-49",E211&lt;60,"5. 50-59",E211&lt;70,"6. 60-69",E211&lt;80,"7. 70-79",TRUE,"8. 80+")</f>
        <v>3. 30-39</v>
      </c>
      <c r="M211" t="str">
        <f t="shared" si="3"/>
        <v>Under 2 years</v>
      </c>
    </row>
    <row r="212" spans="1:13" x14ac:dyDescent="0.25">
      <c r="A212" t="s">
        <v>225</v>
      </c>
      <c r="B212" t="s">
        <v>26</v>
      </c>
      <c r="C212">
        <v>14800</v>
      </c>
      <c r="D212">
        <v>8.93</v>
      </c>
      <c r="E212">
        <v>23.8</v>
      </c>
      <c r="F212">
        <v>0</v>
      </c>
      <c r="G212" t="s">
        <v>7</v>
      </c>
      <c r="H212">
        <v>11</v>
      </c>
      <c r="I212">
        <v>67764</v>
      </c>
      <c r="J212">
        <v>765</v>
      </c>
      <c r="K212" t="str" cm="1">
        <f t="array" ref="K212">_xlfn.IFS(J212&lt;600,"520-599",J212&lt;650,"600-649",J212&lt;700,"650-699",J212&lt;750,"700-749",TRUE,"750+")</f>
        <v>750+</v>
      </c>
      <c r="L212" t="str" cm="1">
        <f t="array" ref="L212">_xlfn.IFS(E212&lt;20,"1. Under 20",E212&lt;30,"2. 20-29",E212&lt;40,"3. 30-39",E212&lt;50,"4. 40-49",E212&lt;60,"5. 50-59",E212&lt;70,"6. 60-69",E212&lt;80,"7. 70-79",TRUE,"8. 80+")</f>
        <v>2. 20-29</v>
      </c>
      <c r="M212" t="str">
        <f t="shared" si="3"/>
        <v>2+ years</v>
      </c>
    </row>
    <row r="213" spans="1:13" x14ac:dyDescent="0.25">
      <c r="A213" t="s">
        <v>226</v>
      </c>
      <c r="B213" t="s">
        <v>4</v>
      </c>
      <c r="C213">
        <v>11400</v>
      </c>
      <c r="D213">
        <v>14.49</v>
      </c>
      <c r="E213">
        <v>90.3</v>
      </c>
      <c r="F213">
        <v>1</v>
      </c>
      <c r="G213" t="s">
        <v>23</v>
      </c>
      <c r="H213">
        <v>0</v>
      </c>
      <c r="I213">
        <v>31088</v>
      </c>
      <c r="J213">
        <v>583</v>
      </c>
      <c r="K213" t="str" cm="1">
        <f t="array" ref="K213">_xlfn.IFS(J213&lt;600,"520-599",J213&lt;650,"600-649",J213&lt;700,"650-699",J213&lt;750,"700-749",TRUE,"750+")</f>
        <v>520-599</v>
      </c>
      <c r="L213" t="str" cm="1">
        <f t="array" ref="L213">_xlfn.IFS(E213&lt;20,"1. Under 20",E213&lt;30,"2. 20-29",E213&lt;40,"3. 30-39",E213&lt;50,"4. 40-49",E213&lt;60,"5. 50-59",E213&lt;70,"6. 60-69",E213&lt;80,"7. 70-79",TRUE,"8. 80+")</f>
        <v>8. 80+</v>
      </c>
      <c r="M213" t="str">
        <f t="shared" si="3"/>
        <v>Under 2 years</v>
      </c>
    </row>
    <row r="214" spans="1:13" x14ac:dyDescent="0.25">
      <c r="A214" t="s">
        <v>227</v>
      </c>
      <c r="B214" t="s">
        <v>26</v>
      </c>
      <c r="C214">
        <v>10400</v>
      </c>
      <c r="D214">
        <v>9.5399999999999991</v>
      </c>
      <c r="E214">
        <v>33.700000000000003</v>
      </c>
      <c r="F214">
        <v>0</v>
      </c>
      <c r="G214" t="s">
        <v>7</v>
      </c>
      <c r="H214">
        <v>4</v>
      </c>
      <c r="I214">
        <v>50017</v>
      </c>
      <c r="J214">
        <v>843</v>
      </c>
      <c r="K214" t="str" cm="1">
        <f t="array" ref="K214">_xlfn.IFS(J214&lt;600,"520-599",J214&lt;650,"600-649",J214&lt;700,"650-699",J214&lt;750,"700-749",TRUE,"750+")</f>
        <v>750+</v>
      </c>
      <c r="L214" t="str" cm="1">
        <f t="array" ref="L214">_xlfn.IFS(E214&lt;20,"1. Under 20",E214&lt;30,"2. 20-29",E214&lt;40,"3. 30-39",E214&lt;50,"4. 40-49",E214&lt;60,"5. 50-59",E214&lt;70,"6. 60-69",E214&lt;80,"7. 70-79",TRUE,"8. 80+")</f>
        <v>3. 30-39</v>
      </c>
      <c r="M214" t="str">
        <f t="shared" si="3"/>
        <v>2+ years</v>
      </c>
    </row>
    <row r="215" spans="1:13" x14ac:dyDescent="0.25">
      <c r="A215" t="s">
        <v>228</v>
      </c>
      <c r="B215" t="s">
        <v>4</v>
      </c>
      <c r="C215">
        <v>30700</v>
      </c>
      <c r="D215">
        <v>12.87</v>
      </c>
      <c r="E215">
        <v>56.3</v>
      </c>
      <c r="F215">
        <v>1</v>
      </c>
      <c r="G215" t="s">
        <v>10</v>
      </c>
      <c r="H215">
        <v>6</v>
      </c>
      <c r="I215">
        <v>68998</v>
      </c>
      <c r="J215">
        <v>579</v>
      </c>
      <c r="K215" t="str" cm="1">
        <f t="array" ref="K215">_xlfn.IFS(J215&lt;600,"520-599",J215&lt;650,"600-649",J215&lt;700,"650-699",J215&lt;750,"700-749",TRUE,"750+")</f>
        <v>520-599</v>
      </c>
      <c r="L215" t="str" cm="1">
        <f t="array" ref="L215">_xlfn.IFS(E215&lt;20,"1. Under 20",E215&lt;30,"2. 20-29",E215&lt;40,"3. 30-39",E215&lt;50,"4. 40-49",E215&lt;60,"5. 50-59",E215&lt;70,"6. 60-69",E215&lt;80,"7. 70-79",TRUE,"8. 80+")</f>
        <v>5. 50-59</v>
      </c>
      <c r="M215" t="str">
        <f t="shared" si="3"/>
        <v>2+ years</v>
      </c>
    </row>
    <row r="216" spans="1:13" x14ac:dyDescent="0.25">
      <c r="A216" t="s">
        <v>229</v>
      </c>
      <c r="B216" t="s">
        <v>4</v>
      </c>
      <c r="C216">
        <v>27100</v>
      </c>
      <c r="D216">
        <v>13.19</v>
      </c>
      <c r="E216">
        <v>70.5</v>
      </c>
      <c r="F216">
        <v>0</v>
      </c>
      <c r="G216" t="s">
        <v>7</v>
      </c>
      <c r="H216">
        <v>11</v>
      </c>
      <c r="I216">
        <v>53774</v>
      </c>
      <c r="J216">
        <v>610</v>
      </c>
      <c r="K216" t="str" cm="1">
        <f t="array" ref="K216">_xlfn.IFS(J216&lt;600,"520-599",J216&lt;650,"600-649",J216&lt;700,"650-699",J216&lt;750,"700-749",TRUE,"750+")</f>
        <v>600-649</v>
      </c>
      <c r="L216" t="str" cm="1">
        <f t="array" ref="L216">_xlfn.IFS(E216&lt;20,"1. Under 20",E216&lt;30,"2. 20-29",E216&lt;40,"3. 30-39",E216&lt;50,"4. 40-49",E216&lt;60,"5. 50-59",E216&lt;70,"6. 60-69",E216&lt;80,"7. 70-79",TRUE,"8. 80+")</f>
        <v>7. 70-79</v>
      </c>
      <c r="M216" t="str">
        <f t="shared" si="3"/>
        <v>2+ years</v>
      </c>
    </row>
    <row r="217" spans="1:13" x14ac:dyDescent="0.25">
      <c r="A217" t="s">
        <v>230</v>
      </c>
      <c r="B217" t="s">
        <v>1</v>
      </c>
      <c r="C217">
        <v>24700</v>
      </c>
      <c r="D217">
        <v>7.62</v>
      </c>
      <c r="E217">
        <v>64.8</v>
      </c>
      <c r="F217">
        <v>0</v>
      </c>
      <c r="G217" t="s">
        <v>7</v>
      </c>
      <c r="H217">
        <v>5</v>
      </c>
      <c r="I217">
        <v>46073</v>
      </c>
      <c r="J217">
        <v>823</v>
      </c>
      <c r="K217" t="str" cm="1">
        <f t="array" ref="K217">_xlfn.IFS(J217&lt;600,"520-599",J217&lt;650,"600-649",J217&lt;700,"650-699",J217&lt;750,"700-749",TRUE,"750+")</f>
        <v>750+</v>
      </c>
      <c r="L217" t="str" cm="1">
        <f t="array" ref="L217">_xlfn.IFS(E217&lt;20,"1. Under 20",E217&lt;30,"2. 20-29",E217&lt;40,"3. 30-39",E217&lt;50,"4. 40-49",E217&lt;60,"5. 50-59",E217&lt;70,"6. 60-69",E217&lt;80,"7. 70-79",TRUE,"8. 80+")</f>
        <v>6. 60-69</v>
      </c>
      <c r="M217" t="str">
        <f t="shared" si="3"/>
        <v>2+ years</v>
      </c>
    </row>
    <row r="218" spans="1:13" x14ac:dyDescent="0.25">
      <c r="A218" t="s">
        <v>231</v>
      </c>
      <c r="B218" t="s">
        <v>21</v>
      </c>
      <c r="C218">
        <v>14000</v>
      </c>
      <c r="D218">
        <v>7.97</v>
      </c>
      <c r="E218">
        <v>31.5</v>
      </c>
      <c r="F218">
        <v>0</v>
      </c>
      <c r="G218" t="s">
        <v>29</v>
      </c>
      <c r="H218">
        <v>3</v>
      </c>
      <c r="I218">
        <v>37566</v>
      </c>
      <c r="J218">
        <v>794</v>
      </c>
      <c r="K218" t="str" cm="1">
        <f t="array" ref="K218">_xlfn.IFS(J218&lt;600,"520-599",J218&lt;650,"600-649",J218&lt;700,"650-699",J218&lt;750,"700-749",TRUE,"750+")</f>
        <v>750+</v>
      </c>
      <c r="L218" t="str" cm="1">
        <f t="array" ref="L218">_xlfn.IFS(E218&lt;20,"1. Under 20",E218&lt;30,"2. 20-29",E218&lt;40,"3. 30-39",E218&lt;50,"4. 40-49",E218&lt;60,"5. 50-59",E218&lt;70,"6. 60-69",E218&lt;80,"7. 70-79",TRUE,"8. 80+")</f>
        <v>3. 30-39</v>
      </c>
      <c r="M218" t="str">
        <f t="shared" si="3"/>
        <v>2+ years</v>
      </c>
    </row>
    <row r="219" spans="1:13" x14ac:dyDescent="0.25">
      <c r="A219" t="s">
        <v>232</v>
      </c>
      <c r="B219" t="s">
        <v>17</v>
      </c>
      <c r="C219">
        <v>34000</v>
      </c>
      <c r="D219">
        <v>10.89</v>
      </c>
      <c r="E219">
        <v>46.7</v>
      </c>
      <c r="F219">
        <v>0</v>
      </c>
      <c r="G219" t="s">
        <v>29</v>
      </c>
      <c r="H219">
        <v>3</v>
      </c>
      <c r="I219">
        <v>37566</v>
      </c>
      <c r="J219">
        <v>794</v>
      </c>
      <c r="K219" t="str" cm="1">
        <f t="array" ref="K219">_xlfn.IFS(J219&lt;600,"520-599",J219&lt;650,"600-649",J219&lt;700,"650-699",J219&lt;750,"700-749",TRUE,"750+")</f>
        <v>750+</v>
      </c>
      <c r="L219" t="str" cm="1">
        <f t="array" ref="L219">_xlfn.IFS(E219&lt;20,"1. Under 20",E219&lt;30,"2. 20-29",E219&lt;40,"3. 30-39",E219&lt;50,"4. 40-49",E219&lt;60,"5. 50-59",E219&lt;70,"6. 60-69",E219&lt;80,"7. 70-79",TRUE,"8. 80+")</f>
        <v>4. 40-49</v>
      </c>
      <c r="M219" t="str">
        <f t="shared" si="3"/>
        <v>2+ years</v>
      </c>
    </row>
    <row r="220" spans="1:13" x14ac:dyDescent="0.25">
      <c r="A220" t="s">
        <v>233</v>
      </c>
      <c r="B220" t="s">
        <v>19</v>
      </c>
      <c r="C220">
        <v>22700</v>
      </c>
      <c r="D220">
        <v>10.39</v>
      </c>
      <c r="E220">
        <v>44.9</v>
      </c>
      <c r="F220">
        <v>0</v>
      </c>
      <c r="G220" t="s">
        <v>7</v>
      </c>
      <c r="H220">
        <v>4</v>
      </c>
      <c r="I220">
        <v>83990</v>
      </c>
      <c r="J220">
        <v>716</v>
      </c>
      <c r="K220" t="str" cm="1">
        <f t="array" ref="K220">_xlfn.IFS(J220&lt;600,"520-599",J220&lt;650,"600-649",J220&lt;700,"650-699",J220&lt;750,"700-749",TRUE,"750+")</f>
        <v>700-749</v>
      </c>
      <c r="L220" t="str" cm="1">
        <f t="array" ref="L220">_xlfn.IFS(E220&lt;20,"1. Under 20",E220&lt;30,"2. 20-29",E220&lt;40,"3. 30-39",E220&lt;50,"4. 40-49",E220&lt;60,"5. 50-59",E220&lt;70,"6. 60-69",E220&lt;80,"7. 70-79",TRUE,"8. 80+")</f>
        <v>4. 40-49</v>
      </c>
      <c r="M220" t="str">
        <f t="shared" si="3"/>
        <v>2+ years</v>
      </c>
    </row>
    <row r="221" spans="1:13" x14ac:dyDescent="0.25">
      <c r="A221" t="s">
        <v>234</v>
      </c>
      <c r="B221" t="s">
        <v>21</v>
      </c>
      <c r="C221">
        <v>22000</v>
      </c>
      <c r="D221">
        <v>11</v>
      </c>
      <c r="E221">
        <v>64.7</v>
      </c>
      <c r="F221">
        <v>0</v>
      </c>
      <c r="G221" t="s">
        <v>10</v>
      </c>
      <c r="H221">
        <v>8</v>
      </c>
      <c r="I221">
        <v>44135</v>
      </c>
      <c r="J221">
        <v>593</v>
      </c>
      <c r="K221" t="str" cm="1">
        <f t="array" ref="K221">_xlfn.IFS(J221&lt;600,"520-599",J221&lt;650,"600-649",J221&lt;700,"650-699",J221&lt;750,"700-749",TRUE,"750+")</f>
        <v>520-599</v>
      </c>
      <c r="L221" t="str" cm="1">
        <f t="array" ref="L221">_xlfn.IFS(E221&lt;20,"1. Under 20",E221&lt;30,"2. 20-29",E221&lt;40,"3. 30-39",E221&lt;50,"4. 40-49",E221&lt;60,"5. 50-59",E221&lt;70,"6. 60-69",E221&lt;80,"7. 70-79",TRUE,"8. 80+")</f>
        <v>6. 60-69</v>
      </c>
      <c r="M221" t="str">
        <f t="shared" si="3"/>
        <v>2+ years</v>
      </c>
    </row>
    <row r="222" spans="1:13" x14ac:dyDescent="0.25">
      <c r="A222" t="s">
        <v>235</v>
      </c>
      <c r="B222" t="s">
        <v>17</v>
      </c>
      <c r="C222">
        <v>10000</v>
      </c>
      <c r="D222">
        <v>15</v>
      </c>
      <c r="E222">
        <v>61.8</v>
      </c>
      <c r="F222">
        <v>0</v>
      </c>
      <c r="G222" t="s">
        <v>29</v>
      </c>
      <c r="H222">
        <v>8</v>
      </c>
      <c r="I222">
        <v>42447</v>
      </c>
      <c r="J222">
        <v>570</v>
      </c>
      <c r="K222" t="str" cm="1">
        <f t="array" ref="K222">_xlfn.IFS(J222&lt;600,"520-599",J222&lt;650,"600-649",J222&lt;700,"650-699",J222&lt;750,"700-749",TRUE,"750+")</f>
        <v>520-599</v>
      </c>
      <c r="L222" t="str" cm="1">
        <f t="array" ref="L222">_xlfn.IFS(E222&lt;20,"1. Under 20",E222&lt;30,"2. 20-29",E222&lt;40,"3. 30-39",E222&lt;50,"4. 40-49",E222&lt;60,"5. 50-59",E222&lt;70,"6. 60-69",E222&lt;80,"7. 70-79",TRUE,"8. 80+")</f>
        <v>6. 60-69</v>
      </c>
      <c r="M222" t="str">
        <f t="shared" si="3"/>
        <v>2+ years</v>
      </c>
    </row>
    <row r="223" spans="1:13" x14ac:dyDescent="0.25">
      <c r="A223" t="s">
        <v>236</v>
      </c>
      <c r="B223" t="s">
        <v>4</v>
      </c>
      <c r="C223">
        <v>36800</v>
      </c>
      <c r="D223">
        <v>11.68</v>
      </c>
      <c r="E223">
        <v>85.1</v>
      </c>
      <c r="F223">
        <v>0</v>
      </c>
      <c r="G223" t="s">
        <v>29</v>
      </c>
      <c r="H223">
        <v>8</v>
      </c>
      <c r="I223">
        <v>42447</v>
      </c>
      <c r="J223">
        <v>570</v>
      </c>
      <c r="K223" t="str" cm="1">
        <f t="array" ref="K223">_xlfn.IFS(J223&lt;600,"520-599",J223&lt;650,"600-649",J223&lt;700,"650-699",J223&lt;750,"700-749",TRUE,"750+")</f>
        <v>520-599</v>
      </c>
      <c r="L223" t="str" cm="1">
        <f t="array" ref="L223">_xlfn.IFS(E223&lt;20,"1. Under 20",E223&lt;30,"2. 20-29",E223&lt;40,"3. 30-39",E223&lt;50,"4. 40-49",E223&lt;60,"5. 50-59",E223&lt;70,"6. 60-69",E223&lt;80,"7. 70-79",TRUE,"8. 80+")</f>
        <v>8. 80+</v>
      </c>
      <c r="M223" t="str">
        <f t="shared" si="3"/>
        <v>2+ years</v>
      </c>
    </row>
    <row r="224" spans="1:13" x14ac:dyDescent="0.25">
      <c r="A224" t="s">
        <v>237</v>
      </c>
      <c r="B224" t="s">
        <v>6</v>
      </c>
      <c r="C224">
        <v>27600</v>
      </c>
      <c r="D224">
        <v>9.2200000000000006</v>
      </c>
      <c r="E224">
        <v>64.8</v>
      </c>
      <c r="F224">
        <v>0</v>
      </c>
      <c r="G224" t="s">
        <v>7</v>
      </c>
      <c r="H224">
        <v>9</v>
      </c>
      <c r="I224">
        <v>51358</v>
      </c>
      <c r="J224">
        <v>827</v>
      </c>
      <c r="K224" t="str" cm="1">
        <f t="array" ref="K224">_xlfn.IFS(J224&lt;600,"520-599",J224&lt;650,"600-649",J224&lt;700,"650-699",J224&lt;750,"700-749",TRUE,"750+")</f>
        <v>750+</v>
      </c>
      <c r="L224" t="str" cm="1">
        <f t="array" ref="L224">_xlfn.IFS(E224&lt;20,"1. Under 20",E224&lt;30,"2. 20-29",E224&lt;40,"3. 30-39",E224&lt;50,"4. 40-49",E224&lt;60,"5. 50-59",E224&lt;70,"6. 60-69",E224&lt;80,"7. 70-79",TRUE,"8. 80+")</f>
        <v>6. 60-69</v>
      </c>
      <c r="M224" t="str">
        <f t="shared" si="3"/>
        <v>2+ years</v>
      </c>
    </row>
    <row r="225" spans="1:13" x14ac:dyDescent="0.25">
      <c r="A225" t="s">
        <v>238</v>
      </c>
      <c r="B225" t="s">
        <v>19</v>
      </c>
      <c r="C225">
        <v>12500</v>
      </c>
      <c r="D225">
        <v>7.09</v>
      </c>
      <c r="E225">
        <v>60.5</v>
      </c>
      <c r="F225">
        <v>0</v>
      </c>
      <c r="G225" t="s">
        <v>7</v>
      </c>
      <c r="H225">
        <v>9</v>
      </c>
      <c r="I225">
        <v>51358</v>
      </c>
      <c r="J225">
        <v>827</v>
      </c>
      <c r="K225" t="str" cm="1">
        <f t="array" ref="K225">_xlfn.IFS(J225&lt;600,"520-599",J225&lt;650,"600-649",J225&lt;700,"650-699",J225&lt;750,"700-749",TRUE,"750+")</f>
        <v>750+</v>
      </c>
      <c r="L225" t="str" cm="1">
        <f t="array" ref="L225">_xlfn.IFS(E225&lt;20,"1. Under 20",E225&lt;30,"2. 20-29",E225&lt;40,"3. 30-39",E225&lt;50,"4. 40-49",E225&lt;60,"5. 50-59",E225&lt;70,"6. 60-69",E225&lt;80,"7. 70-79",TRUE,"8. 80+")</f>
        <v>6. 60-69</v>
      </c>
      <c r="M225" t="str">
        <f t="shared" si="3"/>
        <v>2+ years</v>
      </c>
    </row>
    <row r="226" spans="1:13" x14ac:dyDescent="0.25">
      <c r="A226" t="s">
        <v>239</v>
      </c>
      <c r="B226" t="s">
        <v>13</v>
      </c>
      <c r="C226">
        <v>5000</v>
      </c>
      <c r="D226">
        <v>7.95</v>
      </c>
      <c r="E226">
        <v>40.700000000000003</v>
      </c>
      <c r="F226">
        <v>0</v>
      </c>
      <c r="G226" t="s">
        <v>10</v>
      </c>
      <c r="H226">
        <v>16</v>
      </c>
      <c r="I226">
        <v>25259</v>
      </c>
      <c r="J226">
        <v>850</v>
      </c>
      <c r="K226" t="str" cm="1">
        <f t="array" ref="K226">_xlfn.IFS(J226&lt;600,"520-599",J226&lt;650,"600-649",J226&lt;700,"650-699",J226&lt;750,"700-749",TRUE,"750+")</f>
        <v>750+</v>
      </c>
      <c r="L226" t="str" cm="1">
        <f t="array" ref="L226">_xlfn.IFS(E226&lt;20,"1. Under 20",E226&lt;30,"2. 20-29",E226&lt;40,"3. 30-39",E226&lt;50,"4. 40-49",E226&lt;60,"5. 50-59",E226&lt;70,"6. 60-69",E226&lt;80,"7. 70-79",TRUE,"8. 80+")</f>
        <v>4. 40-49</v>
      </c>
      <c r="M226" t="str">
        <f t="shared" si="3"/>
        <v>2+ years</v>
      </c>
    </row>
    <row r="227" spans="1:13" x14ac:dyDescent="0.25">
      <c r="A227" t="s">
        <v>240</v>
      </c>
      <c r="B227" t="s">
        <v>13</v>
      </c>
      <c r="C227">
        <v>2800</v>
      </c>
      <c r="D227">
        <v>8.86</v>
      </c>
      <c r="E227">
        <v>22</v>
      </c>
      <c r="F227">
        <v>0</v>
      </c>
      <c r="G227" t="s">
        <v>23</v>
      </c>
      <c r="H227">
        <v>3</v>
      </c>
      <c r="I227">
        <v>32494</v>
      </c>
      <c r="J227">
        <v>679</v>
      </c>
      <c r="K227" t="str" cm="1">
        <f t="array" ref="K227">_xlfn.IFS(J227&lt;600,"520-599",J227&lt;650,"600-649",J227&lt;700,"650-699",J227&lt;750,"700-749",TRUE,"750+")</f>
        <v>650-699</v>
      </c>
      <c r="L227" t="str" cm="1">
        <f t="array" ref="L227">_xlfn.IFS(E227&lt;20,"1. Under 20",E227&lt;30,"2. 20-29",E227&lt;40,"3. 30-39",E227&lt;50,"4. 40-49",E227&lt;60,"5. 50-59",E227&lt;70,"6. 60-69",E227&lt;80,"7. 70-79",TRUE,"8. 80+")</f>
        <v>2. 20-29</v>
      </c>
      <c r="M227" t="str">
        <f t="shared" si="3"/>
        <v>2+ years</v>
      </c>
    </row>
    <row r="228" spans="1:13" x14ac:dyDescent="0.25">
      <c r="A228" t="s">
        <v>241</v>
      </c>
      <c r="B228" t="s">
        <v>9</v>
      </c>
      <c r="C228">
        <v>35600</v>
      </c>
      <c r="D228">
        <v>9.81</v>
      </c>
      <c r="E228">
        <v>96.8</v>
      </c>
      <c r="F228">
        <v>0</v>
      </c>
      <c r="G228" t="s">
        <v>7</v>
      </c>
      <c r="H228">
        <v>1</v>
      </c>
      <c r="I228">
        <v>67116</v>
      </c>
      <c r="J228">
        <v>772</v>
      </c>
      <c r="K228" t="str" cm="1">
        <f t="array" ref="K228">_xlfn.IFS(J228&lt;600,"520-599",J228&lt;650,"600-649",J228&lt;700,"650-699",J228&lt;750,"700-749",TRUE,"750+")</f>
        <v>750+</v>
      </c>
      <c r="L228" t="str" cm="1">
        <f t="array" ref="L228">_xlfn.IFS(E228&lt;20,"1. Under 20",E228&lt;30,"2. 20-29",E228&lt;40,"3. 30-39",E228&lt;50,"4. 40-49",E228&lt;60,"5. 50-59",E228&lt;70,"6. 60-69",E228&lt;80,"7. 70-79",TRUE,"8. 80+")</f>
        <v>8. 80+</v>
      </c>
      <c r="M228" t="str">
        <f t="shared" si="3"/>
        <v>Under 2 years</v>
      </c>
    </row>
    <row r="229" spans="1:13" x14ac:dyDescent="0.25">
      <c r="A229" t="s">
        <v>242</v>
      </c>
      <c r="B229" t="s">
        <v>9</v>
      </c>
      <c r="C229">
        <v>46900</v>
      </c>
      <c r="D229">
        <v>9.25</v>
      </c>
      <c r="E229">
        <v>34.9</v>
      </c>
      <c r="F229">
        <v>0</v>
      </c>
      <c r="G229" t="s">
        <v>7</v>
      </c>
      <c r="H229">
        <v>32</v>
      </c>
      <c r="I229">
        <v>108165</v>
      </c>
      <c r="J229">
        <v>734</v>
      </c>
      <c r="K229" t="str" cm="1">
        <f t="array" ref="K229">_xlfn.IFS(J229&lt;600,"520-599",J229&lt;650,"600-649",J229&lt;700,"650-699",J229&lt;750,"700-749",TRUE,"750+")</f>
        <v>700-749</v>
      </c>
      <c r="L229" t="str" cm="1">
        <f t="array" ref="L229">_xlfn.IFS(E229&lt;20,"1. Under 20",E229&lt;30,"2. 20-29",E229&lt;40,"3. 30-39",E229&lt;50,"4. 40-49",E229&lt;60,"5. 50-59",E229&lt;70,"6. 60-69",E229&lt;80,"7. 70-79",TRUE,"8. 80+")</f>
        <v>3. 30-39</v>
      </c>
      <c r="M229" t="str">
        <f t="shared" si="3"/>
        <v>2+ years</v>
      </c>
    </row>
    <row r="230" spans="1:13" x14ac:dyDescent="0.25">
      <c r="A230" t="s">
        <v>243</v>
      </c>
      <c r="B230" t="s">
        <v>4</v>
      </c>
      <c r="C230">
        <v>15200</v>
      </c>
      <c r="D230">
        <v>12.02</v>
      </c>
      <c r="E230">
        <v>88</v>
      </c>
      <c r="F230">
        <v>0</v>
      </c>
      <c r="G230" t="s">
        <v>7</v>
      </c>
      <c r="H230">
        <v>27</v>
      </c>
      <c r="I230">
        <v>42807</v>
      </c>
      <c r="J230">
        <v>726</v>
      </c>
      <c r="K230" t="str" cm="1">
        <f t="array" ref="K230">_xlfn.IFS(J230&lt;600,"520-599",J230&lt;650,"600-649",J230&lt;700,"650-699",J230&lt;750,"700-749",TRUE,"750+")</f>
        <v>700-749</v>
      </c>
      <c r="L230" t="str" cm="1">
        <f t="array" ref="L230">_xlfn.IFS(E230&lt;20,"1. Under 20",E230&lt;30,"2. 20-29",E230&lt;40,"3. 30-39",E230&lt;50,"4. 40-49",E230&lt;60,"5. 50-59",E230&lt;70,"6. 60-69",E230&lt;80,"7. 70-79",TRUE,"8. 80+")</f>
        <v>8. 80+</v>
      </c>
      <c r="M230" t="str">
        <f t="shared" si="3"/>
        <v>2+ years</v>
      </c>
    </row>
    <row r="231" spans="1:13" x14ac:dyDescent="0.25">
      <c r="A231" t="s">
        <v>244</v>
      </c>
      <c r="B231" t="s">
        <v>17</v>
      </c>
      <c r="C231">
        <v>35500</v>
      </c>
      <c r="D231">
        <v>10.07</v>
      </c>
      <c r="E231">
        <v>33.200000000000003</v>
      </c>
      <c r="F231">
        <v>0</v>
      </c>
      <c r="G231" t="s">
        <v>2</v>
      </c>
      <c r="H231">
        <v>15</v>
      </c>
      <c r="I231">
        <v>70887</v>
      </c>
      <c r="J231">
        <v>616</v>
      </c>
      <c r="K231" t="str" cm="1">
        <f t="array" ref="K231">_xlfn.IFS(J231&lt;600,"520-599",J231&lt;650,"600-649",J231&lt;700,"650-699",J231&lt;750,"700-749",TRUE,"750+")</f>
        <v>600-649</v>
      </c>
      <c r="L231" t="str" cm="1">
        <f t="array" ref="L231">_xlfn.IFS(E231&lt;20,"1. Under 20",E231&lt;30,"2. 20-29",E231&lt;40,"3. 30-39",E231&lt;50,"4. 40-49",E231&lt;60,"5. 50-59",E231&lt;70,"6. 60-69",E231&lt;80,"7. 70-79",TRUE,"8. 80+")</f>
        <v>3. 30-39</v>
      </c>
      <c r="M231" t="str">
        <f t="shared" si="3"/>
        <v>2+ years</v>
      </c>
    </row>
    <row r="232" spans="1:13" x14ac:dyDescent="0.25">
      <c r="A232" t="s">
        <v>245</v>
      </c>
      <c r="B232" t="s">
        <v>21</v>
      </c>
      <c r="C232">
        <v>30700</v>
      </c>
      <c r="D232">
        <v>12.35</v>
      </c>
      <c r="E232">
        <v>74.900000000000006</v>
      </c>
      <c r="F232">
        <v>1</v>
      </c>
      <c r="G232" t="s">
        <v>7</v>
      </c>
      <c r="H232">
        <v>1</v>
      </c>
      <c r="I232">
        <v>38494</v>
      </c>
      <c r="J232">
        <v>648</v>
      </c>
      <c r="K232" t="str" cm="1">
        <f t="array" ref="K232">_xlfn.IFS(J232&lt;600,"520-599",J232&lt;650,"600-649",J232&lt;700,"650-699",J232&lt;750,"700-749",TRUE,"750+")</f>
        <v>600-649</v>
      </c>
      <c r="L232" t="str" cm="1">
        <f t="array" ref="L232">_xlfn.IFS(E232&lt;20,"1. Under 20",E232&lt;30,"2. 20-29",E232&lt;40,"3. 30-39",E232&lt;50,"4. 40-49",E232&lt;60,"5. 50-59",E232&lt;70,"6. 60-69",E232&lt;80,"7. 70-79",TRUE,"8. 80+")</f>
        <v>7. 70-79</v>
      </c>
      <c r="M232" t="str">
        <f t="shared" si="3"/>
        <v>Under 2 years</v>
      </c>
    </row>
    <row r="233" spans="1:13" x14ac:dyDescent="0.25">
      <c r="A233" t="s">
        <v>246</v>
      </c>
      <c r="B233" t="s">
        <v>13</v>
      </c>
      <c r="C233">
        <v>6300</v>
      </c>
      <c r="D233">
        <v>12.83</v>
      </c>
      <c r="E233">
        <v>51.9</v>
      </c>
      <c r="F233">
        <v>0</v>
      </c>
      <c r="G233" t="s">
        <v>7</v>
      </c>
      <c r="H233">
        <v>27</v>
      </c>
      <c r="I233">
        <v>41121</v>
      </c>
      <c r="J233">
        <v>585</v>
      </c>
      <c r="K233" t="str" cm="1">
        <f t="array" ref="K233">_xlfn.IFS(J233&lt;600,"520-599",J233&lt;650,"600-649",J233&lt;700,"650-699",J233&lt;750,"700-749",TRUE,"750+")</f>
        <v>520-599</v>
      </c>
      <c r="L233" t="str" cm="1">
        <f t="array" ref="L233">_xlfn.IFS(E233&lt;20,"1. Under 20",E233&lt;30,"2. 20-29",E233&lt;40,"3. 30-39",E233&lt;50,"4. 40-49",E233&lt;60,"5. 50-59",E233&lt;70,"6. 60-69",E233&lt;80,"7. 70-79",TRUE,"8. 80+")</f>
        <v>5. 50-59</v>
      </c>
      <c r="M233" t="str">
        <f t="shared" si="3"/>
        <v>2+ years</v>
      </c>
    </row>
    <row r="234" spans="1:13" x14ac:dyDescent="0.25">
      <c r="A234" t="s">
        <v>247</v>
      </c>
      <c r="B234" t="s">
        <v>1</v>
      </c>
      <c r="C234">
        <v>8400</v>
      </c>
      <c r="D234">
        <v>11.52</v>
      </c>
      <c r="E234">
        <v>54.4</v>
      </c>
      <c r="F234">
        <v>0</v>
      </c>
      <c r="G234" t="s">
        <v>7</v>
      </c>
      <c r="H234">
        <v>17</v>
      </c>
      <c r="I234">
        <v>42175</v>
      </c>
      <c r="J234">
        <v>715</v>
      </c>
      <c r="K234" t="str" cm="1">
        <f t="array" ref="K234">_xlfn.IFS(J234&lt;600,"520-599",J234&lt;650,"600-649",J234&lt;700,"650-699",J234&lt;750,"700-749",TRUE,"750+")</f>
        <v>700-749</v>
      </c>
      <c r="L234" t="str" cm="1">
        <f t="array" ref="L234">_xlfn.IFS(E234&lt;20,"1. Under 20",E234&lt;30,"2. 20-29",E234&lt;40,"3. 30-39",E234&lt;50,"4. 40-49",E234&lt;60,"5. 50-59",E234&lt;70,"6. 60-69",E234&lt;80,"7. 70-79",TRUE,"8. 80+")</f>
        <v>5. 50-59</v>
      </c>
      <c r="M234" t="str">
        <f t="shared" si="3"/>
        <v>2+ years</v>
      </c>
    </row>
    <row r="235" spans="1:13" x14ac:dyDescent="0.25">
      <c r="A235" t="s">
        <v>248</v>
      </c>
      <c r="B235" t="s">
        <v>4</v>
      </c>
      <c r="C235">
        <v>44400</v>
      </c>
      <c r="D235">
        <v>10.19</v>
      </c>
      <c r="E235">
        <v>74.7</v>
      </c>
      <c r="F235">
        <v>0</v>
      </c>
      <c r="G235" t="s">
        <v>23</v>
      </c>
      <c r="H235">
        <v>3</v>
      </c>
      <c r="I235">
        <v>58864</v>
      </c>
      <c r="J235">
        <v>595</v>
      </c>
      <c r="K235" t="str" cm="1">
        <f t="array" ref="K235">_xlfn.IFS(J235&lt;600,"520-599",J235&lt;650,"600-649",J235&lt;700,"650-699",J235&lt;750,"700-749",TRUE,"750+")</f>
        <v>520-599</v>
      </c>
      <c r="L235" t="str" cm="1">
        <f t="array" ref="L235">_xlfn.IFS(E235&lt;20,"1. Under 20",E235&lt;30,"2. 20-29",E235&lt;40,"3. 30-39",E235&lt;50,"4. 40-49",E235&lt;60,"5. 50-59",E235&lt;70,"6. 60-69",E235&lt;80,"7. 70-79",TRUE,"8. 80+")</f>
        <v>7. 70-79</v>
      </c>
      <c r="M235" t="str">
        <f t="shared" si="3"/>
        <v>2+ years</v>
      </c>
    </row>
    <row r="236" spans="1:13" x14ac:dyDescent="0.25">
      <c r="A236" t="s">
        <v>249</v>
      </c>
      <c r="B236" t="s">
        <v>1</v>
      </c>
      <c r="C236">
        <v>35700</v>
      </c>
      <c r="D236">
        <v>6.98</v>
      </c>
      <c r="E236">
        <v>64.7</v>
      </c>
      <c r="F236">
        <v>0</v>
      </c>
      <c r="G236" t="s">
        <v>7</v>
      </c>
      <c r="H236">
        <v>1</v>
      </c>
      <c r="I236">
        <v>98282</v>
      </c>
      <c r="J236">
        <v>796</v>
      </c>
      <c r="K236" t="str" cm="1">
        <f t="array" ref="K236">_xlfn.IFS(J236&lt;600,"520-599",J236&lt;650,"600-649",J236&lt;700,"650-699",J236&lt;750,"700-749",TRUE,"750+")</f>
        <v>750+</v>
      </c>
      <c r="L236" t="str" cm="1">
        <f t="array" ref="L236">_xlfn.IFS(E236&lt;20,"1. Under 20",E236&lt;30,"2. 20-29",E236&lt;40,"3. 30-39",E236&lt;50,"4. 40-49",E236&lt;60,"5. 50-59",E236&lt;70,"6. 60-69",E236&lt;80,"7. 70-79",TRUE,"8. 80+")</f>
        <v>6. 60-69</v>
      </c>
      <c r="M236" t="str">
        <f t="shared" si="3"/>
        <v>Under 2 years</v>
      </c>
    </row>
    <row r="237" spans="1:13" x14ac:dyDescent="0.25">
      <c r="A237" t="s">
        <v>250</v>
      </c>
      <c r="B237" t="s">
        <v>15</v>
      </c>
      <c r="C237">
        <v>7600</v>
      </c>
      <c r="D237">
        <v>8.91</v>
      </c>
      <c r="E237">
        <v>47.1</v>
      </c>
      <c r="F237">
        <v>0</v>
      </c>
      <c r="G237" t="s">
        <v>7</v>
      </c>
      <c r="H237">
        <v>1</v>
      </c>
      <c r="I237">
        <v>98282</v>
      </c>
      <c r="J237">
        <v>796</v>
      </c>
      <c r="K237" t="str" cm="1">
        <f t="array" ref="K237">_xlfn.IFS(J237&lt;600,"520-599",J237&lt;650,"600-649",J237&lt;700,"650-699",J237&lt;750,"700-749",TRUE,"750+")</f>
        <v>750+</v>
      </c>
      <c r="L237" t="str" cm="1">
        <f t="array" ref="L237">_xlfn.IFS(E237&lt;20,"1. Under 20",E237&lt;30,"2. 20-29",E237&lt;40,"3. 30-39",E237&lt;50,"4. 40-49",E237&lt;60,"5. 50-59",E237&lt;70,"6. 60-69",E237&lt;80,"7. 70-79",TRUE,"8. 80+")</f>
        <v>4. 40-49</v>
      </c>
      <c r="M237" t="str">
        <f t="shared" si="3"/>
        <v>Under 2 years</v>
      </c>
    </row>
    <row r="238" spans="1:13" x14ac:dyDescent="0.25">
      <c r="A238" t="s">
        <v>251</v>
      </c>
      <c r="B238" t="s">
        <v>9</v>
      </c>
      <c r="C238">
        <v>13900</v>
      </c>
      <c r="D238">
        <v>10.54</v>
      </c>
      <c r="E238">
        <v>39.1</v>
      </c>
      <c r="F238">
        <v>0</v>
      </c>
      <c r="G238" t="s">
        <v>23</v>
      </c>
      <c r="H238">
        <v>20</v>
      </c>
      <c r="I238">
        <v>40418</v>
      </c>
      <c r="J238">
        <v>697</v>
      </c>
      <c r="K238" t="str" cm="1">
        <f t="array" ref="K238">_xlfn.IFS(J238&lt;600,"520-599",J238&lt;650,"600-649",J238&lt;700,"650-699",J238&lt;750,"700-749",TRUE,"750+")</f>
        <v>650-699</v>
      </c>
      <c r="L238" t="str" cm="1">
        <f t="array" ref="L238">_xlfn.IFS(E238&lt;20,"1. Under 20",E238&lt;30,"2. 20-29",E238&lt;40,"3. 30-39",E238&lt;50,"4. 40-49",E238&lt;60,"5. 50-59",E238&lt;70,"6. 60-69",E238&lt;80,"7. 70-79",TRUE,"8. 80+")</f>
        <v>3. 30-39</v>
      </c>
      <c r="M238" t="str">
        <f t="shared" si="3"/>
        <v>2+ years</v>
      </c>
    </row>
    <row r="239" spans="1:13" x14ac:dyDescent="0.25">
      <c r="A239" t="s">
        <v>252</v>
      </c>
      <c r="B239" t="s">
        <v>4</v>
      </c>
      <c r="C239">
        <v>29800</v>
      </c>
      <c r="D239">
        <v>7.73</v>
      </c>
      <c r="E239">
        <v>81.900000000000006</v>
      </c>
      <c r="F239">
        <v>0</v>
      </c>
      <c r="G239" t="s">
        <v>7</v>
      </c>
      <c r="H239">
        <v>9</v>
      </c>
      <c r="I239">
        <v>71852</v>
      </c>
      <c r="J239">
        <v>823</v>
      </c>
      <c r="K239" t="str" cm="1">
        <f t="array" ref="K239">_xlfn.IFS(J239&lt;600,"520-599",J239&lt;650,"600-649",J239&lt;700,"650-699",J239&lt;750,"700-749",TRUE,"750+")</f>
        <v>750+</v>
      </c>
      <c r="L239" t="str" cm="1">
        <f t="array" ref="L239">_xlfn.IFS(E239&lt;20,"1. Under 20",E239&lt;30,"2. 20-29",E239&lt;40,"3. 30-39",E239&lt;50,"4. 40-49",E239&lt;60,"5. 50-59",E239&lt;70,"6. 60-69",E239&lt;80,"7. 70-79",TRUE,"8. 80+")</f>
        <v>8. 80+</v>
      </c>
      <c r="M239" t="str">
        <f t="shared" si="3"/>
        <v>2+ years</v>
      </c>
    </row>
    <row r="240" spans="1:13" x14ac:dyDescent="0.25">
      <c r="A240" t="s">
        <v>253</v>
      </c>
      <c r="B240" t="s">
        <v>1</v>
      </c>
      <c r="C240">
        <v>17500</v>
      </c>
      <c r="D240">
        <v>10.71</v>
      </c>
      <c r="E240">
        <v>52</v>
      </c>
      <c r="F240">
        <v>0</v>
      </c>
      <c r="G240" t="s">
        <v>2</v>
      </c>
      <c r="H240">
        <v>0</v>
      </c>
      <c r="I240">
        <v>86875</v>
      </c>
      <c r="J240">
        <v>850</v>
      </c>
      <c r="K240" t="str" cm="1">
        <f t="array" ref="K240">_xlfn.IFS(J240&lt;600,"520-599",J240&lt;650,"600-649",J240&lt;700,"650-699",J240&lt;750,"700-749",TRUE,"750+")</f>
        <v>750+</v>
      </c>
      <c r="L240" t="str" cm="1">
        <f t="array" ref="L240">_xlfn.IFS(E240&lt;20,"1. Under 20",E240&lt;30,"2. 20-29",E240&lt;40,"3. 30-39",E240&lt;50,"4. 40-49",E240&lt;60,"5. 50-59",E240&lt;70,"6. 60-69",E240&lt;80,"7. 70-79",TRUE,"8. 80+")</f>
        <v>5. 50-59</v>
      </c>
      <c r="M240" t="str">
        <f t="shared" si="3"/>
        <v>Under 2 years</v>
      </c>
    </row>
    <row r="241" spans="1:13" x14ac:dyDescent="0.25">
      <c r="A241" t="s">
        <v>254</v>
      </c>
      <c r="B241" t="s">
        <v>9</v>
      </c>
      <c r="C241">
        <v>17700</v>
      </c>
      <c r="D241">
        <v>11.3</v>
      </c>
      <c r="E241">
        <v>48.2</v>
      </c>
      <c r="F241">
        <v>0</v>
      </c>
      <c r="G241" t="s">
        <v>2</v>
      </c>
      <c r="H241">
        <v>33</v>
      </c>
      <c r="I241">
        <v>77828</v>
      </c>
      <c r="J241">
        <v>622</v>
      </c>
      <c r="K241" t="str" cm="1">
        <f t="array" ref="K241">_xlfn.IFS(J241&lt;600,"520-599",J241&lt;650,"600-649",J241&lt;700,"650-699",J241&lt;750,"700-749",TRUE,"750+")</f>
        <v>600-649</v>
      </c>
      <c r="L241" t="str" cm="1">
        <f t="array" ref="L241">_xlfn.IFS(E241&lt;20,"1. Under 20",E241&lt;30,"2. 20-29",E241&lt;40,"3. 30-39",E241&lt;50,"4. 40-49",E241&lt;60,"5. 50-59",E241&lt;70,"6. 60-69",E241&lt;80,"7. 70-79",TRUE,"8. 80+")</f>
        <v>4. 40-49</v>
      </c>
      <c r="M241" t="str">
        <f t="shared" si="3"/>
        <v>2+ years</v>
      </c>
    </row>
    <row r="242" spans="1:13" x14ac:dyDescent="0.25">
      <c r="A242" t="s">
        <v>255</v>
      </c>
      <c r="B242" t="s">
        <v>26</v>
      </c>
      <c r="C242">
        <v>32100</v>
      </c>
      <c r="D242">
        <v>10.9</v>
      </c>
      <c r="E242">
        <v>139.69999999999999</v>
      </c>
      <c r="F242">
        <v>1</v>
      </c>
      <c r="G242" t="s">
        <v>23</v>
      </c>
      <c r="H242">
        <v>1</v>
      </c>
      <c r="I242">
        <v>33970</v>
      </c>
      <c r="J242">
        <v>622</v>
      </c>
      <c r="K242" t="str" cm="1">
        <f t="array" ref="K242">_xlfn.IFS(J242&lt;600,"520-599",J242&lt;650,"600-649",J242&lt;700,"650-699",J242&lt;750,"700-749",TRUE,"750+")</f>
        <v>600-649</v>
      </c>
      <c r="L242" t="str" cm="1">
        <f t="array" ref="L242">_xlfn.IFS(E242&lt;20,"1. Under 20",E242&lt;30,"2. 20-29",E242&lt;40,"3. 30-39",E242&lt;50,"4. 40-49",E242&lt;60,"5. 50-59",E242&lt;70,"6. 60-69",E242&lt;80,"7. 70-79",TRUE,"8. 80+")</f>
        <v>8. 80+</v>
      </c>
      <c r="M242" t="str">
        <f t="shared" si="3"/>
        <v>Under 2 years</v>
      </c>
    </row>
    <row r="243" spans="1:13" x14ac:dyDescent="0.25">
      <c r="A243" t="s">
        <v>256</v>
      </c>
      <c r="B243" t="s">
        <v>15</v>
      </c>
      <c r="C243">
        <v>28900</v>
      </c>
      <c r="D243">
        <v>11.63</v>
      </c>
      <c r="E243">
        <v>74.599999999999994</v>
      </c>
      <c r="F243">
        <v>1</v>
      </c>
      <c r="G243" t="s">
        <v>23</v>
      </c>
      <c r="H243">
        <v>22</v>
      </c>
      <c r="I243">
        <v>38878</v>
      </c>
      <c r="J243">
        <v>556</v>
      </c>
      <c r="K243" t="str" cm="1">
        <f t="array" ref="K243">_xlfn.IFS(J243&lt;600,"520-599",J243&lt;650,"600-649",J243&lt;700,"650-699",J243&lt;750,"700-749",TRUE,"750+")</f>
        <v>520-599</v>
      </c>
      <c r="L243" t="str" cm="1">
        <f t="array" ref="L243">_xlfn.IFS(E243&lt;20,"1. Under 20",E243&lt;30,"2. 20-29",E243&lt;40,"3. 30-39",E243&lt;50,"4. 40-49",E243&lt;60,"5. 50-59",E243&lt;70,"6. 60-69",E243&lt;80,"7. 70-79",TRUE,"8. 80+")</f>
        <v>7. 70-79</v>
      </c>
      <c r="M243" t="str">
        <f t="shared" si="3"/>
        <v>2+ years</v>
      </c>
    </row>
    <row r="244" spans="1:13" x14ac:dyDescent="0.25">
      <c r="A244" t="s">
        <v>257</v>
      </c>
      <c r="B244" t="s">
        <v>15</v>
      </c>
      <c r="C244">
        <v>15500</v>
      </c>
      <c r="D244">
        <v>7.34</v>
      </c>
      <c r="E244">
        <v>49.7</v>
      </c>
      <c r="F244">
        <v>0</v>
      </c>
      <c r="G244" t="s">
        <v>7</v>
      </c>
      <c r="H244">
        <v>21</v>
      </c>
      <c r="I244">
        <v>51649</v>
      </c>
      <c r="J244">
        <v>802</v>
      </c>
      <c r="K244" t="str" cm="1">
        <f t="array" ref="K244">_xlfn.IFS(J244&lt;600,"520-599",J244&lt;650,"600-649",J244&lt;700,"650-699",J244&lt;750,"700-749",TRUE,"750+")</f>
        <v>750+</v>
      </c>
      <c r="L244" t="str" cm="1">
        <f t="array" ref="L244">_xlfn.IFS(E244&lt;20,"1. Under 20",E244&lt;30,"2. 20-29",E244&lt;40,"3. 30-39",E244&lt;50,"4. 40-49",E244&lt;60,"5. 50-59",E244&lt;70,"6. 60-69",E244&lt;80,"7. 70-79",TRUE,"8. 80+")</f>
        <v>4. 40-49</v>
      </c>
      <c r="M244" t="str">
        <f t="shared" si="3"/>
        <v>2+ years</v>
      </c>
    </row>
    <row r="245" spans="1:13" x14ac:dyDescent="0.25">
      <c r="A245" t="s">
        <v>258</v>
      </c>
      <c r="B245" t="s">
        <v>9</v>
      </c>
      <c r="C245">
        <v>46500</v>
      </c>
      <c r="D245">
        <v>11.15</v>
      </c>
      <c r="E245">
        <v>76.5</v>
      </c>
      <c r="F245">
        <v>0</v>
      </c>
      <c r="G245" t="s">
        <v>7</v>
      </c>
      <c r="H245">
        <v>21</v>
      </c>
      <c r="I245">
        <v>51649</v>
      </c>
      <c r="J245">
        <v>802</v>
      </c>
      <c r="K245" t="str" cm="1">
        <f t="array" ref="K245">_xlfn.IFS(J245&lt;600,"520-599",J245&lt;650,"600-649",J245&lt;700,"650-699",J245&lt;750,"700-749",TRUE,"750+")</f>
        <v>750+</v>
      </c>
      <c r="L245" t="str" cm="1">
        <f t="array" ref="L245">_xlfn.IFS(E245&lt;20,"1. Under 20",E245&lt;30,"2. 20-29",E245&lt;40,"3. 30-39",E245&lt;50,"4. 40-49",E245&lt;60,"5. 50-59",E245&lt;70,"6. 60-69",E245&lt;80,"7. 70-79",TRUE,"8. 80+")</f>
        <v>7. 70-79</v>
      </c>
      <c r="M245" t="str">
        <f t="shared" si="3"/>
        <v>2+ years</v>
      </c>
    </row>
    <row r="246" spans="1:13" x14ac:dyDescent="0.25">
      <c r="A246" t="s">
        <v>259</v>
      </c>
      <c r="B246" t="s">
        <v>15</v>
      </c>
      <c r="C246">
        <v>49700</v>
      </c>
      <c r="D246">
        <v>11.68</v>
      </c>
      <c r="E246">
        <v>83.2</v>
      </c>
      <c r="F246">
        <v>1</v>
      </c>
      <c r="G246" t="s">
        <v>7</v>
      </c>
      <c r="H246">
        <v>17</v>
      </c>
      <c r="I246">
        <v>96142</v>
      </c>
      <c r="J246">
        <v>666</v>
      </c>
      <c r="K246" t="str" cm="1">
        <f t="array" ref="K246">_xlfn.IFS(J246&lt;600,"520-599",J246&lt;650,"600-649",J246&lt;700,"650-699",J246&lt;750,"700-749",TRUE,"750+")</f>
        <v>650-699</v>
      </c>
      <c r="L246" t="str" cm="1">
        <f t="array" ref="L246">_xlfn.IFS(E246&lt;20,"1. Under 20",E246&lt;30,"2. 20-29",E246&lt;40,"3. 30-39",E246&lt;50,"4. 40-49",E246&lt;60,"5. 50-59",E246&lt;70,"6. 60-69",E246&lt;80,"7. 70-79",TRUE,"8. 80+")</f>
        <v>8. 80+</v>
      </c>
      <c r="M246" t="str">
        <f t="shared" si="3"/>
        <v>2+ years</v>
      </c>
    </row>
    <row r="247" spans="1:13" x14ac:dyDescent="0.25">
      <c r="A247" t="s">
        <v>260</v>
      </c>
      <c r="B247" t="s">
        <v>15</v>
      </c>
      <c r="C247">
        <v>10100</v>
      </c>
      <c r="D247">
        <v>9.1</v>
      </c>
      <c r="E247">
        <v>21.8</v>
      </c>
      <c r="F247">
        <v>1</v>
      </c>
      <c r="G247" t="s">
        <v>2</v>
      </c>
      <c r="H247">
        <v>11</v>
      </c>
      <c r="I247">
        <v>96556</v>
      </c>
      <c r="J247">
        <v>785</v>
      </c>
      <c r="K247" t="str" cm="1">
        <f t="array" ref="K247">_xlfn.IFS(J247&lt;600,"520-599",J247&lt;650,"600-649",J247&lt;700,"650-699",J247&lt;750,"700-749",TRUE,"750+")</f>
        <v>750+</v>
      </c>
      <c r="L247" t="str" cm="1">
        <f t="array" ref="L247">_xlfn.IFS(E247&lt;20,"1. Under 20",E247&lt;30,"2. 20-29",E247&lt;40,"3. 30-39",E247&lt;50,"4. 40-49",E247&lt;60,"5. 50-59",E247&lt;70,"6. 60-69",E247&lt;80,"7. 70-79",TRUE,"8. 80+")</f>
        <v>2. 20-29</v>
      </c>
      <c r="M247" t="str">
        <f t="shared" si="3"/>
        <v>2+ years</v>
      </c>
    </row>
    <row r="248" spans="1:13" x14ac:dyDescent="0.25">
      <c r="A248" t="s">
        <v>261</v>
      </c>
      <c r="B248" t="s">
        <v>6</v>
      </c>
      <c r="C248">
        <v>25700</v>
      </c>
      <c r="D248">
        <v>8.25</v>
      </c>
      <c r="E248">
        <v>21.4</v>
      </c>
      <c r="F248">
        <v>0</v>
      </c>
      <c r="G248" t="s">
        <v>7</v>
      </c>
      <c r="H248">
        <v>5</v>
      </c>
      <c r="I248">
        <v>97749</v>
      </c>
      <c r="J248">
        <v>742</v>
      </c>
      <c r="K248" t="str" cm="1">
        <f t="array" ref="K248">_xlfn.IFS(J248&lt;600,"520-599",J248&lt;650,"600-649",J248&lt;700,"650-699",J248&lt;750,"700-749",TRUE,"750+")</f>
        <v>700-749</v>
      </c>
      <c r="L248" t="str" cm="1">
        <f t="array" ref="L248">_xlfn.IFS(E248&lt;20,"1. Under 20",E248&lt;30,"2. 20-29",E248&lt;40,"3. 30-39",E248&lt;50,"4. 40-49",E248&lt;60,"5. 50-59",E248&lt;70,"6. 60-69",E248&lt;80,"7. 70-79",TRUE,"8. 80+")</f>
        <v>2. 20-29</v>
      </c>
      <c r="M248" t="str">
        <f t="shared" si="3"/>
        <v>2+ years</v>
      </c>
    </row>
    <row r="249" spans="1:13" x14ac:dyDescent="0.25">
      <c r="A249" t="s">
        <v>262</v>
      </c>
      <c r="B249" t="s">
        <v>6</v>
      </c>
      <c r="C249">
        <v>29000</v>
      </c>
      <c r="D249">
        <v>8.6999999999999993</v>
      </c>
      <c r="E249">
        <v>14.4</v>
      </c>
      <c r="F249">
        <v>0</v>
      </c>
      <c r="G249" t="s">
        <v>7</v>
      </c>
      <c r="H249">
        <v>5</v>
      </c>
      <c r="I249">
        <v>97749</v>
      </c>
      <c r="J249">
        <v>742</v>
      </c>
      <c r="K249" t="str" cm="1">
        <f t="array" ref="K249">_xlfn.IFS(J249&lt;600,"520-599",J249&lt;650,"600-649",J249&lt;700,"650-699",J249&lt;750,"700-749",TRUE,"750+")</f>
        <v>700-749</v>
      </c>
      <c r="L249" t="str" cm="1">
        <f t="array" ref="L249">_xlfn.IFS(E249&lt;20,"1. Under 20",E249&lt;30,"2. 20-29",E249&lt;40,"3. 30-39",E249&lt;50,"4. 40-49",E249&lt;60,"5. 50-59",E249&lt;70,"6. 60-69",E249&lt;80,"7. 70-79",TRUE,"8. 80+")</f>
        <v>1. Under 20</v>
      </c>
      <c r="M249" t="str">
        <f t="shared" si="3"/>
        <v>2+ years</v>
      </c>
    </row>
    <row r="250" spans="1:13" x14ac:dyDescent="0.25">
      <c r="A250" t="s">
        <v>263</v>
      </c>
      <c r="B250" t="s">
        <v>1</v>
      </c>
      <c r="C250">
        <v>27200</v>
      </c>
      <c r="D250">
        <v>8.59</v>
      </c>
      <c r="E250">
        <v>137.4</v>
      </c>
      <c r="F250">
        <v>0</v>
      </c>
      <c r="G250" t="s">
        <v>29</v>
      </c>
      <c r="H250">
        <v>13</v>
      </c>
      <c r="I250">
        <v>27294</v>
      </c>
      <c r="J250">
        <v>770</v>
      </c>
      <c r="K250" t="str" cm="1">
        <f t="array" ref="K250">_xlfn.IFS(J250&lt;600,"520-599",J250&lt;650,"600-649",J250&lt;700,"650-699",J250&lt;750,"700-749",TRUE,"750+")</f>
        <v>750+</v>
      </c>
      <c r="L250" t="str" cm="1">
        <f t="array" ref="L250">_xlfn.IFS(E250&lt;20,"1. Under 20",E250&lt;30,"2. 20-29",E250&lt;40,"3. 30-39",E250&lt;50,"4. 40-49",E250&lt;60,"5. 50-59",E250&lt;70,"6. 60-69",E250&lt;80,"7. 70-79",TRUE,"8. 80+")</f>
        <v>8. 80+</v>
      </c>
      <c r="M250" t="str">
        <f t="shared" si="3"/>
        <v>2+ years</v>
      </c>
    </row>
    <row r="251" spans="1:13" x14ac:dyDescent="0.25">
      <c r="A251" t="s">
        <v>264</v>
      </c>
      <c r="B251" t="s">
        <v>15</v>
      </c>
      <c r="C251">
        <v>4700</v>
      </c>
      <c r="D251">
        <v>11.45</v>
      </c>
      <c r="E251">
        <v>22.8</v>
      </c>
      <c r="F251">
        <v>0</v>
      </c>
      <c r="G251" t="s">
        <v>23</v>
      </c>
      <c r="H251">
        <v>1</v>
      </c>
      <c r="I251">
        <v>23680</v>
      </c>
      <c r="J251">
        <v>649</v>
      </c>
      <c r="K251" t="str" cm="1">
        <f t="array" ref="K251">_xlfn.IFS(J251&lt;600,"520-599",J251&lt;650,"600-649",J251&lt;700,"650-699",J251&lt;750,"700-749",TRUE,"750+")</f>
        <v>600-649</v>
      </c>
      <c r="L251" t="str" cm="1">
        <f t="array" ref="L251">_xlfn.IFS(E251&lt;20,"1. Under 20",E251&lt;30,"2. 20-29",E251&lt;40,"3. 30-39",E251&lt;50,"4. 40-49",E251&lt;60,"5. 50-59",E251&lt;70,"6. 60-69",E251&lt;80,"7. 70-79",TRUE,"8. 80+")</f>
        <v>2. 20-29</v>
      </c>
      <c r="M251" t="str">
        <f t="shared" si="3"/>
        <v>Under 2 years</v>
      </c>
    </row>
    <row r="252" spans="1:13" x14ac:dyDescent="0.25">
      <c r="A252" t="s">
        <v>265</v>
      </c>
      <c r="B252" t="s">
        <v>26</v>
      </c>
      <c r="C252">
        <v>12400</v>
      </c>
      <c r="D252">
        <v>9.83</v>
      </c>
      <c r="E252">
        <v>29.9</v>
      </c>
      <c r="F252">
        <v>0</v>
      </c>
      <c r="G252" t="s">
        <v>23</v>
      </c>
      <c r="H252">
        <v>1</v>
      </c>
      <c r="I252">
        <v>23680</v>
      </c>
      <c r="J252">
        <v>649</v>
      </c>
      <c r="K252" t="str" cm="1">
        <f t="array" ref="K252">_xlfn.IFS(J252&lt;600,"520-599",J252&lt;650,"600-649",J252&lt;700,"650-699",J252&lt;750,"700-749",TRUE,"750+")</f>
        <v>600-649</v>
      </c>
      <c r="L252" t="str" cm="1">
        <f t="array" ref="L252">_xlfn.IFS(E252&lt;20,"1. Under 20",E252&lt;30,"2. 20-29",E252&lt;40,"3. 30-39",E252&lt;50,"4. 40-49",E252&lt;60,"5. 50-59",E252&lt;70,"6. 60-69",E252&lt;80,"7. 70-79",TRUE,"8. 80+")</f>
        <v>2. 20-29</v>
      </c>
      <c r="M252" t="str">
        <f t="shared" si="3"/>
        <v>Under 2 years</v>
      </c>
    </row>
    <row r="253" spans="1:13" x14ac:dyDescent="0.25">
      <c r="A253" t="s">
        <v>266</v>
      </c>
      <c r="B253" t="s">
        <v>6</v>
      </c>
      <c r="C253">
        <v>20300</v>
      </c>
      <c r="D253">
        <v>11.28</v>
      </c>
      <c r="E253">
        <v>51.1</v>
      </c>
      <c r="F253">
        <v>0</v>
      </c>
      <c r="G253" t="s">
        <v>2</v>
      </c>
      <c r="H253">
        <v>0</v>
      </c>
      <c r="I253">
        <v>47014</v>
      </c>
      <c r="J253">
        <v>600</v>
      </c>
      <c r="K253" t="str" cm="1">
        <f t="array" ref="K253">_xlfn.IFS(J253&lt;600,"520-599",J253&lt;650,"600-649",J253&lt;700,"650-699",J253&lt;750,"700-749",TRUE,"750+")</f>
        <v>600-649</v>
      </c>
      <c r="L253" t="str" cm="1">
        <f t="array" ref="L253">_xlfn.IFS(E253&lt;20,"1. Under 20",E253&lt;30,"2. 20-29",E253&lt;40,"3. 30-39",E253&lt;50,"4. 40-49",E253&lt;60,"5. 50-59",E253&lt;70,"6. 60-69",E253&lt;80,"7. 70-79",TRUE,"8. 80+")</f>
        <v>5. 50-59</v>
      </c>
      <c r="M253" t="str">
        <f t="shared" si="3"/>
        <v>Under 2 years</v>
      </c>
    </row>
    <row r="254" spans="1:13" x14ac:dyDescent="0.25">
      <c r="A254" t="s">
        <v>267</v>
      </c>
      <c r="B254" t="s">
        <v>15</v>
      </c>
      <c r="C254">
        <v>21300</v>
      </c>
      <c r="D254">
        <v>8.7899999999999991</v>
      </c>
      <c r="E254">
        <v>49</v>
      </c>
      <c r="F254">
        <v>0</v>
      </c>
      <c r="G254" t="s">
        <v>7</v>
      </c>
      <c r="H254">
        <v>18</v>
      </c>
      <c r="I254">
        <v>102097</v>
      </c>
      <c r="J254">
        <v>709</v>
      </c>
      <c r="K254" t="str" cm="1">
        <f t="array" ref="K254">_xlfn.IFS(J254&lt;600,"520-599",J254&lt;650,"600-649",J254&lt;700,"650-699",J254&lt;750,"700-749",TRUE,"750+")</f>
        <v>700-749</v>
      </c>
      <c r="L254" t="str" cm="1">
        <f t="array" ref="L254">_xlfn.IFS(E254&lt;20,"1. Under 20",E254&lt;30,"2. 20-29",E254&lt;40,"3. 30-39",E254&lt;50,"4. 40-49",E254&lt;60,"5. 50-59",E254&lt;70,"6. 60-69",E254&lt;80,"7. 70-79",TRUE,"8. 80+")</f>
        <v>4. 40-49</v>
      </c>
      <c r="M254" t="str">
        <f t="shared" si="3"/>
        <v>2+ years</v>
      </c>
    </row>
    <row r="255" spans="1:13" x14ac:dyDescent="0.25">
      <c r="A255" t="s">
        <v>268</v>
      </c>
      <c r="B255" t="s">
        <v>26</v>
      </c>
      <c r="C255">
        <v>31800</v>
      </c>
      <c r="D255">
        <v>10.75</v>
      </c>
      <c r="E255">
        <v>49.8</v>
      </c>
      <c r="F255">
        <v>0</v>
      </c>
      <c r="G255" t="s">
        <v>7</v>
      </c>
      <c r="H255">
        <v>18</v>
      </c>
      <c r="I255">
        <v>102097</v>
      </c>
      <c r="J255">
        <v>709</v>
      </c>
      <c r="K255" t="str" cm="1">
        <f t="array" ref="K255">_xlfn.IFS(J255&lt;600,"520-599",J255&lt;650,"600-649",J255&lt;700,"650-699",J255&lt;750,"700-749",TRUE,"750+")</f>
        <v>700-749</v>
      </c>
      <c r="L255" t="str" cm="1">
        <f t="array" ref="L255">_xlfn.IFS(E255&lt;20,"1. Under 20",E255&lt;30,"2. 20-29",E255&lt;40,"3. 30-39",E255&lt;50,"4. 40-49",E255&lt;60,"5. 50-59",E255&lt;70,"6. 60-69",E255&lt;80,"7. 70-79",TRUE,"8. 80+")</f>
        <v>4. 40-49</v>
      </c>
      <c r="M255" t="str">
        <f t="shared" si="3"/>
        <v>2+ years</v>
      </c>
    </row>
    <row r="256" spans="1:13" x14ac:dyDescent="0.25">
      <c r="A256" t="s">
        <v>269</v>
      </c>
      <c r="B256" t="s">
        <v>17</v>
      </c>
      <c r="C256">
        <v>40900</v>
      </c>
      <c r="D256">
        <v>10.37</v>
      </c>
      <c r="E256">
        <v>17.3</v>
      </c>
      <c r="F256">
        <v>1</v>
      </c>
      <c r="G256" t="s">
        <v>2</v>
      </c>
      <c r="H256">
        <v>13</v>
      </c>
      <c r="I256">
        <v>100359</v>
      </c>
      <c r="J256">
        <v>634</v>
      </c>
      <c r="K256" t="str" cm="1">
        <f t="array" ref="K256">_xlfn.IFS(J256&lt;600,"520-599",J256&lt;650,"600-649",J256&lt;700,"650-699",J256&lt;750,"700-749",TRUE,"750+")</f>
        <v>600-649</v>
      </c>
      <c r="L256" t="str" cm="1">
        <f t="array" ref="L256">_xlfn.IFS(E256&lt;20,"1. Under 20",E256&lt;30,"2. 20-29",E256&lt;40,"3. 30-39",E256&lt;50,"4. 40-49",E256&lt;60,"5. 50-59",E256&lt;70,"6. 60-69",E256&lt;80,"7. 70-79",TRUE,"8. 80+")</f>
        <v>1. Under 20</v>
      </c>
      <c r="M256" t="str">
        <f t="shared" si="3"/>
        <v>2+ years</v>
      </c>
    </row>
    <row r="257" spans="1:13" x14ac:dyDescent="0.25">
      <c r="A257" t="s">
        <v>270</v>
      </c>
      <c r="B257" t="s">
        <v>1</v>
      </c>
      <c r="C257">
        <v>33100</v>
      </c>
      <c r="D257">
        <v>13.1</v>
      </c>
      <c r="E257">
        <v>67.3</v>
      </c>
      <c r="F257">
        <v>0</v>
      </c>
      <c r="G257" t="s">
        <v>7</v>
      </c>
      <c r="H257">
        <v>1</v>
      </c>
      <c r="I257">
        <v>118864</v>
      </c>
      <c r="J257">
        <v>693</v>
      </c>
      <c r="K257" t="str" cm="1">
        <f t="array" ref="K257">_xlfn.IFS(J257&lt;600,"520-599",J257&lt;650,"600-649",J257&lt;700,"650-699",J257&lt;750,"700-749",TRUE,"750+")</f>
        <v>650-699</v>
      </c>
      <c r="L257" t="str" cm="1">
        <f t="array" ref="L257">_xlfn.IFS(E257&lt;20,"1. Under 20",E257&lt;30,"2. 20-29",E257&lt;40,"3. 30-39",E257&lt;50,"4. 40-49",E257&lt;60,"5. 50-59",E257&lt;70,"6. 60-69",E257&lt;80,"7. 70-79",TRUE,"8. 80+")</f>
        <v>6. 60-69</v>
      </c>
      <c r="M257" t="str">
        <f t="shared" si="3"/>
        <v>Under 2 years</v>
      </c>
    </row>
    <row r="258" spans="1:13" x14ac:dyDescent="0.25">
      <c r="A258" t="s">
        <v>271</v>
      </c>
      <c r="B258" t="s">
        <v>1</v>
      </c>
      <c r="C258">
        <v>21300</v>
      </c>
      <c r="D258">
        <v>11.26</v>
      </c>
      <c r="E258">
        <v>71.099999999999994</v>
      </c>
      <c r="F258">
        <v>0</v>
      </c>
      <c r="G258" t="s">
        <v>29</v>
      </c>
      <c r="H258">
        <v>4</v>
      </c>
      <c r="I258">
        <v>32700</v>
      </c>
      <c r="J258">
        <v>777</v>
      </c>
      <c r="K258" t="str" cm="1">
        <f t="array" ref="K258">_xlfn.IFS(J258&lt;600,"520-599",J258&lt;650,"600-649",J258&lt;700,"650-699",J258&lt;750,"700-749",TRUE,"750+")</f>
        <v>750+</v>
      </c>
      <c r="L258" t="str" cm="1">
        <f t="array" ref="L258">_xlfn.IFS(E258&lt;20,"1. Under 20",E258&lt;30,"2. 20-29",E258&lt;40,"3. 30-39",E258&lt;50,"4. 40-49",E258&lt;60,"5. 50-59",E258&lt;70,"6. 60-69",E258&lt;80,"7. 70-79",TRUE,"8. 80+")</f>
        <v>7. 70-79</v>
      </c>
      <c r="M258" t="str">
        <f t="shared" si="3"/>
        <v>2+ years</v>
      </c>
    </row>
    <row r="259" spans="1:13" x14ac:dyDescent="0.25">
      <c r="A259" t="s">
        <v>272</v>
      </c>
      <c r="B259" t="s">
        <v>6</v>
      </c>
      <c r="C259">
        <v>6900</v>
      </c>
      <c r="D259">
        <v>11.99</v>
      </c>
      <c r="E259">
        <v>62.1</v>
      </c>
      <c r="F259">
        <v>1</v>
      </c>
      <c r="G259" t="s">
        <v>7</v>
      </c>
      <c r="H259">
        <v>0</v>
      </c>
      <c r="I259">
        <v>31455</v>
      </c>
      <c r="J259">
        <v>620</v>
      </c>
      <c r="K259" t="str" cm="1">
        <f t="array" ref="K259">_xlfn.IFS(J259&lt;600,"520-599",J259&lt;650,"600-649",J259&lt;700,"650-699",J259&lt;750,"700-749",TRUE,"750+")</f>
        <v>600-649</v>
      </c>
      <c r="L259" t="str" cm="1">
        <f t="array" ref="L259">_xlfn.IFS(E259&lt;20,"1. Under 20",E259&lt;30,"2. 20-29",E259&lt;40,"3. 30-39",E259&lt;50,"4. 40-49",E259&lt;60,"5. 50-59",E259&lt;70,"6. 60-69",E259&lt;80,"7. 70-79",TRUE,"8. 80+")</f>
        <v>6. 60-69</v>
      </c>
      <c r="M259" t="str">
        <f t="shared" ref="M259:M322" si="4">IF(H259&lt;2,"Under 2 years","2+ years")</f>
        <v>Under 2 years</v>
      </c>
    </row>
    <row r="260" spans="1:13" x14ac:dyDescent="0.25">
      <c r="A260" t="s">
        <v>273</v>
      </c>
      <c r="B260" t="s">
        <v>17</v>
      </c>
      <c r="C260">
        <v>2600</v>
      </c>
      <c r="D260">
        <v>10.56</v>
      </c>
      <c r="E260">
        <v>41.2</v>
      </c>
      <c r="F260">
        <v>0</v>
      </c>
      <c r="G260" t="s">
        <v>7</v>
      </c>
      <c r="H260">
        <v>0</v>
      </c>
      <c r="I260">
        <v>31455</v>
      </c>
      <c r="J260">
        <v>620</v>
      </c>
      <c r="K260" t="str" cm="1">
        <f t="array" ref="K260">_xlfn.IFS(J260&lt;600,"520-599",J260&lt;650,"600-649",J260&lt;700,"650-699",J260&lt;750,"700-749",TRUE,"750+")</f>
        <v>600-649</v>
      </c>
      <c r="L260" t="str" cm="1">
        <f t="array" ref="L260">_xlfn.IFS(E260&lt;20,"1. Under 20",E260&lt;30,"2. 20-29",E260&lt;40,"3. 30-39",E260&lt;50,"4. 40-49",E260&lt;60,"5. 50-59",E260&lt;70,"6. 60-69",E260&lt;80,"7. 70-79",TRUE,"8. 80+")</f>
        <v>4. 40-49</v>
      </c>
      <c r="M260" t="str">
        <f t="shared" si="4"/>
        <v>Under 2 years</v>
      </c>
    </row>
    <row r="261" spans="1:13" x14ac:dyDescent="0.25">
      <c r="A261" t="s">
        <v>274</v>
      </c>
      <c r="B261" t="s">
        <v>13</v>
      </c>
      <c r="C261">
        <v>23800</v>
      </c>
      <c r="D261">
        <v>10.65</v>
      </c>
      <c r="E261">
        <v>27.8</v>
      </c>
      <c r="F261">
        <v>0</v>
      </c>
      <c r="G261" t="s">
        <v>10</v>
      </c>
      <c r="H261">
        <v>8</v>
      </c>
      <c r="I261">
        <v>53975</v>
      </c>
      <c r="J261">
        <v>748</v>
      </c>
      <c r="K261" t="str" cm="1">
        <f t="array" ref="K261">_xlfn.IFS(J261&lt;600,"520-599",J261&lt;650,"600-649",J261&lt;700,"650-699",J261&lt;750,"700-749",TRUE,"750+")</f>
        <v>700-749</v>
      </c>
      <c r="L261" t="str" cm="1">
        <f t="array" ref="L261">_xlfn.IFS(E261&lt;20,"1. Under 20",E261&lt;30,"2. 20-29",E261&lt;40,"3. 30-39",E261&lt;50,"4. 40-49",E261&lt;60,"5. 50-59",E261&lt;70,"6. 60-69",E261&lt;80,"7. 70-79",TRUE,"8. 80+")</f>
        <v>2. 20-29</v>
      </c>
      <c r="M261" t="str">
        <f t="shared" si="4"/>
        <v>2+ years</v>
      </c>
    </row>
    <row r="262" spans="1:13" x14ac:dyDescent="0.25">
      <c r="A262" t="s">
        <v>275</v>
      </c>
      <c r="B262" t="s">
        <v>17</v>
      </c>
      <c r="C262">
        <v>18600</v>
      </c>
      <c r="D262">
        <v>10.15</v>
      </c>
      <c r="E262">
        <v>99.8</v>
      </c>
      <c r="F262">
        <v>1</v>
      </c>
      <c r="G262" t="s">
        <v>29</v>
      </c>
      <c r="H262">
        <v>3</v>
      </c>
      <c r="I262">
        <v>24621</v>
      </c>
      <c r="J262">
        <v>721</v>
      </c>
      <c r="K262" t="str" cm="1">
        <f t="array" ref="K262">_xlfn.IFS(J262&lt;600,"520-599",J262&lt;650,"600-649",J262&lt;700,"650-699",J262&lt;750,"700-749",TRUE,"750+")</f>
        <v>700-749</v>
      </c>
      <c r="L262" t="str" cm="1">
        <f t="array" ref="L262">_xlfn.IFS(E262&lt;20,"1. Under 20",E262&lt;30,"2. 20-29",E262&lt;40,"3. 30-39",E262&lt;50,"4. 40-49",E262&lt;60,"5. 50-59",E262&lt;70,"6. 60-69",E262&lt;80,"7. 70-79",TRUE,"8. 80+")</f>
        <v>8. 80+</v>
      </c>
      <c r="M262" t="str">
        <f t="shared" si="4"/>
        <v>2+ years</v>
      </c>
    </row>
    <row r="263" spans="1:13" x14ac:dyDescent="0.25">
      <c r="A263" t="s">
        <v>276</v>
      </c>
      <c r="B263" t="s">
        <v>1</v>
      </c>
      <c r="C263">
        <v>21400</v>
      </c>
      <c r="D263">
        <v>12.71</v>
      </c>
      <c r="E263">
        <v>34.4</v>
      </c>
      <c r="F263">
        <v>0</v>
      </c>
      <c r="G263" t="s">
        <v>7</v>
      </c>
      <c r="H263">
        <v>3</v>
      </c>
      <c r="I263">
        <v>63539</v>
      </c>
      <c r="J263">
        <v>655</v>
      </c>
      <c r="K263" t="str" cm="1">
        <f t="array" ref="K263">_xlfn.IFS(J263&lt;600,"520-599",J263&lt;650,"600-649",J263&lt;700,"650-699",J263&lt;750,"700-749",TRUE,"750+")</f>
        <v>650-699</v>
      </c>
      <c r="L263" t="str" cm="1">
        <f t="array" ref="L263">_xlfn.IFS(E263&lt;20,"1. Under 20",E263&lt;30,"2. 20-29",E263&lt;40,"3. 30-39",E263&lt;50,"4. 40-49",E263&lt;60,"5. 50-59",E263&lt;70,"6. 60-69",E263&lt;80,"7. 70-79",TRUE,"8. 80+")</f>
        <v>3. 30-39</v>
      </c>
      <c r="M263" t="str">
        <f t="shared" si="4"/>
        <v>2+ years</v>
      </c>
    </row>
    <row r="264" spans="1:13" x14ac:dyDescent="0.25">
      <c r="A264" t="s">
        <v>277</v>
      </c>
      <c r="B264" t="s">
        <v>4</v>
      </c>
      <c r="C264">
        <v>6200</v>
      </c>
      <c r="D264">
        <v>9.9</v>
      </c>
      <c r="E264">
        <v>14.5</v>
      </c>
      <c r="F264">
        <v>0</v>
      </c>
      <c r="G264" t="s">
        <v>10</v>
      </c>
      <c r="H264">
        <v>18</v>
      </c>
      <c r="I264">
        <v>120652</v>
      </c>
      <c r="J264">
        <v>610</v>
      </c>
      <c r="K264" t="str" cm="1">
        <f t="array" ref="K264">_xlfn.IFS(J264&lt;600,"520-599",J264&lt;650,"600-649",J264&lt;700,"650-699",J264&lt;750,"700-749",TRUE,"750+")</f>
        <v>600-649</v>
      </c>
      <c r="L264" t="str" cm="1">
        <f t="array" ref="L264">_xlfn.IFS(E264&lt;20,"1. Under 20",E264&lt;30,"2. 20-29",E264&lt;40,"3. 30-39",E264&lt;50,"4. 40-49",E264&lt;60,"5. 50-59",E264&lt;70,"6. 60-69",E264&lt;80,"7. 70-79",TRUE,"8. 80+")</f>
        <v>1. Under 20</v>
      </c>
      <c r="M264" t="str">
        <f t="shared" si="4"/>
        <v>2+ years</v>
      </c>
    </row>
    <row r="265" spans="1:13" x14ac:dyDescent="0.25">
      <c r="A265" t="s">
        <v>278</v>
      </c>
      <c r="B265" t="s">
        <v>1</v>
      </c>
      <c r="C265">
        <v>27800</v>
      </c>
      <c r="D265">
        <v>10.78</v>
      </c>
      <c r="E265">
        <v>38.1</v>
      </c>
      <c r="F265">
        <v>0</v>
      </c>
      <c r="G265" t="s">
        <v>29</v>
      </c>
      <c r="H265">
        <v>7</v>
      </c>
      <c r="I265">
        <v>38662</v>
      </c>
      <c r="J265">
        <v>806</v>
      </c>
      <c r="K265" t="str" cm="1">
        <f t="array" ref="K265">_xlfn.IFS(J265&lt;600,"520-599",J265&lt;650,"600-649",J265&lt;700,"650-699",J265&lt;750,"700-749",TRUE,"750+")</f>
        <v>750+</v>
      </c>
      <c r="L265" t="str" cm="1">
        <f t="array" ref="L265">_xlfn.IFS(E265&lt;20,"1. Under 20",E265&lt;30,"2. 20-29",E265&lt;40,"3. 30-39",E265&lt;50,"4. 40-49",E265&lt;60,"5. 50-59",E265&lt;70,"6. 60-69",E265&lt;80,"7. 70-79",TRUE,"8. 80+")</f>
        <v>3. 30-39</v>
      </c>
      <c r="M265" t="str">
        <f t="shared" si="4"/>
        <v>2+ years</v>
      </c>
    </row>
    <row r="266" spans="1:13" x14ac:dyDescent="0.25">
      <c r="A266" t="s">
        <v>279</v>
      </c>
      <c r="B266" t="s">
        <v>17</v>
      </c>
      <c r="C266">
        <v>5500</v>
      </c>
      <c r="D266">
        <v>11.5</v>
      </c>
      <c r="E266">
        <v>36.6</v>
      </c>
      <c r="F266">
        <v>1</v>
      </c>
      <c r="G266" t="s">
        <v>23</v>
      </c>
      <c r="H266">
        <v>14</v>
      </c>
      <c r="I266">
        <v>49958</v>
      </c>
      <c r="J266">
        <v>799</v>
      </c>
      <c r="K266" t="str" cm="1">
        <f t="array" ref="K266">_xlfn.IFS(J266&lt;600,"520-599",J266&lt;650,"600-649",J266&lt;700,"650-699",J266&lt;750,"700-749",TRUE,"750+")</f>
        <v>750+</v>
      </c>
      <c r="L266" t="str" cm="1">
        <f t="array" ref="L266">_xlfn.IFS(E266&lt;20,"1. Under 20",E266&lt;30,"2. 20-29",E266&lt;40,"3. 30-39",E266&lt;50,"4. 40-49",E266&lt;60,"5. 50-59",E266&lt;70,"6. 60-69",E266&lt;80,"7. 70-79",TRUE,"8. 80+")</f>
        <v>3. 30-39</v>
      </c>
      <c r="M266" t="str">
        <f t="shared" si="4"/>
        <v>2+ years</v>
      </c>
    </row>
    <row r="267" spans="1:13" x14ac:dyDescent="0.25">
      <c r="A267" t="s">
        <v>280</v>
      </c>
      <c r="B267" t="s">
        <v>19</v>
      </c>
      <c r="C267">
        <v>39400</v>
      </c>
      <c r="D267">
        <v>6.77</v>
      </c>
      <c r="E267">
        <v>26.5</v>
      </c>
      <c r="F267">
        <v>1</v>
      </c>
      <c r="G267" t="s">
        <v>10</v>
      </c>
      <c r="H267">
        <v>1</v>
      </c>
      <c r="I267">
        <v>71945</v>
      </c>
      <c r="J267">
        <v>809</v>
      </c>
      <c r="K267" t="str" cm="1">
        <f t="array" ref="K267">_xlfn.IFS(J267&lt;600,"520-599",J267&lt;650,"600-649",J267&lt;700,"650-699",J267&lt;750,"700-749",TRUE,"750+")</f>
        <v>750+</v>
      </c>
      <c r="L267" t="str" cm="1">
        <f t="array" ref="L267">_xlfn.IFS(E267&lt;20,"1. Under 20",E267&lt;30,"2. 20-29",E267&lt;40,"3. 30-39",E267&lt;50,"4. 40-49",E267&lt;60,"5. 50-59",E267&lt;70,"6. 60-69",E267&lt;80,"7. 70-79",TRUE,"8. 80+")</f>
        <v>2. 20-29</v>
      </c>
      <c r="M267" t="str">
        <f t="shared" si="4"/>
        <v>Under 2 years</v>
      </c>
    </row>
    <row r="268" spans="1:13" x14ac:dyDescent="0.25">
      <c r="A268" t="s">
        <v>281</v>
      </c>
      <c r="B268" t="s">
        <v>1</v>
      </c>
      <c r="C268">
        <v>30600</v>
      </c>
      <c r="D268">
        <v>12.03</v>
      </c>
      <c r="E268">
        <v>39.4</v>
      </c>
      <c r="F268">
        <v>0</v>
      </c>
      <c r="G268" t="s">
        <v>7</v>
      </c>
      <c r="H268">
        <v>1</v>
      </c>
      <c r="I268">
        <v>131724</v>
      </c>
      <c r="J268">
        <v>778</v>
      </c>
      <c r="K268" t="str" cm="1">
        <f t="array" ref="K268">_xlfn.IFS(J268&lt;600,"520-599",J268&lt;650,"600-649",J268&lt;700,"650-699",J268&lt;750,"700-749",TRUE,"750+")</f>
        <v>750+</v>
      </c>
      <c r="L268" t="str" cm="1">
        <f t="array" ref="L268">_xlfn.IFS(E268&lt;20,"1. Under 20",E268&lt;30,"2. 20-29",E268&lt;40,"3. 30-39",E268&lt;50,"4. 40-49",E268&lt;60,"5. 50-59",E268&lt;70,"6. 60-69",E268&lt;80,"7. 70-79",TRUE,"8. 80+")</f>
        <v>3. 30-39</v>
      </c>
      <c r="M268" t="str">
        <f t="shared" si="4"/>
        <v>Under 2 years</v>
      </c>
    </row>
    <row r="269" spans="1:13" x14ac:dyDescent="0.25">
      <c r="A269" t="s">
        <v>282</v>
      </c>
      <c r="B269" t="s">
        <v>26</v>
      </c>
      <c r="C269">
        <v>45400</v>
      </c>
      <c r="D269">
        <v>8.19</v>
      </c>
      <c r="E269">
        <v>43.3</v>
      </c>
      <c r="F269">
        <v>0</v>
      </c>
      <c r="G269" t="s">
        <v>7</v>
      </c>
      <c r="H269">
        <v>1</v>
      </c>
      <c r="I269">
        <v>131724</v>
      </c>
      <c r="J269">
        <v>778</v>
      </c>
      <c r="K269" t="str" cm="1">
        <f t="array" ref="K269">_xlfn.IFS(J269&lt;600,"520-599",J269&lt;650,"600-649",J269&lt;700,"650-699",J269&lt;750,"700-749",TRUE,"750+")</f>
        <v>750+</v>
      </c>
      <c r="L269" t="str" cm="1">
        <f t="array" ref="L269">_xlfn.IFS(E269&lt;20,"1. Under 20",E269&lt;30,"2. 20-29",E269&lt;40,"3. 30-39",E269&lt;50,"4. 40-49",E269&lt;60,"5. 50-59",E269&lt;70,"6. 60-69",E269&lt;80,"7. 70-79",TRUE,"8. 80+")</f>
        <v>4. 40-49</v>
      </c>
      <c r="M269" t="str">
        <f t="shared" si="4"/>
        <v>Under 2 years</v>
      </c>
    </row>
    <row r="270" spans="1:13" x14ac:dyDescent="0.25">
      <c r="A270" t="s">
        <v>283</v>
      </c>
      <c r="B270" t="s">
        <v>4</v>
      </c>
      <c r="C270">
        <v>7600</v>
      </c>
      <c r="D270">
        <v>12.33</v>
      </c>
      <c r="E270">
        <v>11</v>
      </c>
      <c r="F270">
        <v>0</v>
      </c>
      <c r="G270" t="s">
        <v>10</v>
      </c>
      <c r="H270">
        <v>16</v>
      </c>
      <c r="I270">
        <v>86745</v>
      </c>
      <c r="J270">
        <v>742</v>
      </c>
      <c r="K270" t="str" cm="1">
        <f t="array" ref="K270">_xlfn.IFS(J270&lt;600,"520-599",J270&lt;650,"600-649",J270&lt;700,"650-699",J270&lt;750,"700-749",TRUE,"750+")</f>
        <v>700-749</v>
      </c>
      <c r="L270" t="str" cm="1">
        <f t="array" ref="L270">_xlfn.IFS(E270&lt;20,"1. Under 20",E270&lt;30,"2. 20-29",E270&lt;40,"3. 30-39",E270&lt;50,"4. 40-49",E270&lt;60,"5. 50-59",E270&lt;70,"6. 60-69",E270&lt;80,"7. 70-79",TRUE,"8. 80+")</f>
        <v>1. Under 20</v>
      </c>
      <c r="M270" t="str">
        <f t="shared" si="4"/>
        <v>2+ years</v>
      </c>
    </row>
    <row r="271" spans="1:13" x14ac:dyDescent="0.25">
      <c r="A271" t="s">
        <v>284</v>
      </c>
      <c r="B271" t="s">
        <v>1</v>
      </c>
      <c r="C271">
        <v>13100</v>
      </c>
      <c r="D271">
        <v>13.44</v>
      </c>
      <c r="E271">
        <v>53.4</v>
      </c>
      <c r="F271">
        <v>0</v>
      </c>
      <c r="G271" t="s">
        <v>7</v>
      </c>
      <c r="H271">
        <v>29</v>
      </c>
      <c r="I271">
        <v>75328</v>
      </c>
      <c r="J271">
        <v>570</v>
      </c>
      <c r="K271" t="str" cm="1">
        <f t="array" ref="K271">_xlfn.IFS(J271&lt;600,"520-599",J271&lt;650,"600-649",J271&lt;700,"650-699",J271&lt;750,"700-749",TRUE,"750+")</f>
        <v>520-599</v>
      </c>
      <c r="L271" t="str" cm="1">
        <f t="array" ref="L271">_xlfn.IFS(E271&lt;20,"1. Under 20",E271&lt;30,"2. 20-29",E271&lt;40,"3. 30-39",E271&lt;50,"4. 40-49",E271&lt;60,"5. 50-59",E271&lt;70,"6. 60-69",E271&lt;80,"7. 70-79",TRUE,"8. 80+")</f>
        <v>5. 50-59</v>
      </c>
      <c r="M271" t="str">
        <f t="shared" si="4"/>
        <v>2+ years</v>
      </c>
    </row>
    <row r="272" spans="1:13" x14ac:dyDescent="0.25">
      <c r="A272" t="s">
        <v>285</v>
      </c>
      <c r="B272" t="s">
        <v>9</v>
      </c>
      <c r="C272">
        <v>20700</v>
      </c>
      <c r="D272">
        <v>12</v>
      </c>
      <c r="E272">
        <v>19.8</v>
      </c>
      <c r="F272">
        <v>0</v>
      </c>
      <c r="G272" t="s">
        <v>23</v>
      </c>
      <c r="H272">
        <v>28</v>
      </c>
      <c r="I272">
        <v>60734</v>
      </c>
      <c r="J272">
        <v>730</v>
      </c>
      <c r="K272" t="str" cm="1">
        <f t="array" ref="K272">_xlfn.IFS(J272&lt;600,"520-599",J272&lt;650,"600-649",J272&lt;700,"650-699",J272&lt;750,"700-749",TRUE,"750+")</f>
        <v>700-749</v>
      </c>
      <c r="L272" t="str" cm="1">
        <f t="array" ref="L272">_xlfn.IFS(E272&lt;20,"1. Under 20",E272&lt;30,"2. 20-29",E272&lt;40,"3. 30-39",E272&lt;50,"4. 40-49",E272&lt;60,"5. 50-59",E272&lt;70,"6. 60-69",E272&lt;80,"7. 70-79",TRUE,"8. 80+")</f>
        <v>1. Under 20</v>
      </c>
      <c r="M272" t="str">
        <f t="shared" si="4"/>
        <v>2+ years</v>
      </c>
    </row>
    <row r="273" spans="1:13" x14ac:dyDescent="0.25">
      <c r="A273" t="s">
        <v>286</v>
      </c>
      <c r="B273" t="s">
        <v>9</v>
      </c>
      <c r="C273">
        <v>6100</v>
      </c>
      <c r="D273">
        <v>10.48</v>
      </c>
      <c r="E273">
        <v>42.8</v>
      </c>
      <c r="F273">
        <v>1</v>
      </c>
      <c r="G273" t="s">
        <v>7</v>
      </c>
      <c r="H273">
        <v>11</v>
      </c>
      <c r="I273">
        <v>128412</v>
      </c>
      <c r="J273">
        <v>610</v>
      </c>
      <c r="K273" t="str" cm="1">
        <f t="array" ref="K273">_xlfn.IFS(J273&lt;600,"520-599",J273&lt;650,"600-649",J273&lt;700,"650-699",J273&lt;750,"700-749",TRUE,"750+")</f>
        <v>600-649</v>
      </c>
      <c r="L273" t="str" cm="1">
        <f t="array" ref="L273">_xlfn.IFS(E273&lt;20,"1. Under 20",E273&lt;30,"2. 20-29",E273&lt;40,"3. 30-39",E273&lt;50,"4. 40-49",E273&lt;60,"5. 50-59",E273&lt;70,"6. 60-69",E273&lt;80,"7. 70-79",TRUE,"8. 80+")</f>
        <v>4. 40-49</v>
      </c>
      <c r="M273" t="str">
        <f t="shared" si="4"/>
        <v>2+ years</v>
      </c>
    </row>
    <row r="274" spans="1:13" x14ac:dyDescent="0.25">
      <c r="A274" t="s">
        <v>287</v>
      </c>
      <c r="B274" t="s">
        <v>4</v>
      </c>
      <c r="C274">
        <v>25700</v>
      </c>
      <c r="D274">
        <v>7.93</v>
      </c>
      <c r="E274">
        <v>38.1</v>
      </c>
      <c r="F274">
        <v>0</v>
      </c>
      <c r="G274" t="s">
        <v>2</v>
      </c>
      <c r="H274">
        <v>13</v>
      </c>
      <c r="I274">
        <v>138554</v>
      </c>
      <c r="J274">
        <v>787</v>
      </c>
      <c r="K274" t="str" cm="1">
        <f t="array" ref="K274">_xlfn.IFS(J274&lt;600,"520-599",J274&lt;650,"600-649",J274&lt;700,"650-699",J274&lt;750,"700-749",TRUE,"750+")</f>
        <v>750+</v>
      </c>
      <c r="L274" t="str" cm="1">
        <f t="array" ref="L274">_xlfn.IFS(E274&lt;20,"1. Under 20",E274&lt;30,"2. 20-29",E274&lt;40,"3. 30-39",E274&lt;50,"4. 40-49",E274&lt;60,"5. 50-59",E274&lt;70,"6. 60-69",E274&lt;80,"7. 70-79",TRUE,"8. 80+")</f>
        <v>3. 30-39</v>
      </c>
      <c r="M274" t="str">
        <f t="shared" si="4"/>
        <v>2+ years</v>
      </c>
    </row>
    <row r="275" spans="1:13" x14ac:dyDescent="0.25">
      <c r="A275" t="s">
        <v>288</v>
      </c>
      <c r="B275" t="s">
        <v>15</v>
      </c>
      <c r="C275">
        <v>43900</v>
      </c>
      <c r="D275">
        <v>14.33</v>
      </c>
      <c r="E275">
        <v>177.4</v>
      </c>
      <c r="F275">
        <v>1</v>
      </c>
      <c r="G275" t="s">
        <v>29</v>
      </c>
      <c r="H275">
        <v>0</v>
      </c>
      <c r="I275">
        <v>37737</v>
      </c>
      <c r="J275">
        <v>582</v>
      </c>
      <c r="K275" t="str" cm="1">
        <f t="array" ref="K275">_xlfn.IFS(J275&lt;600,"520-599",J275&lt;650,"600-649",J275&lt;700,"650-699",J275&lt;750,"700-749",TRUE,"750+")</f>
        <v>520-599</v>
      </c>
      <c r="L275" t="str" cm="1">
        <f t="array" ref="L275">_xlfn.IFS(E275&lt;20,"1. Under 20",E275&lt;30,"2. 20-29",E275&lt;40,"3. 30-39",E275&lt;50,"4. 40-49",E275&lt;60,"5. 50-59",E275&lt;70,"6. 60-69",E275&lt;80,"7. 70-79",TRUE,"8. 80+")</f>
        <v>8. 80+</v>
      </c>
      <c r="M275" t="str">
        <f t="shared" si="4"/>
        <v>Under 2 years</v>
      </c>
    </row>
    <row r="276" spans="1:13" x14ac:dyDescent="0.25">
      <c r="A276" t="s">
        <v>289</v>
      </c>
      <c r="B276" t="s">
        <v>19</v>
      </c>
      <c r="C276">
        <v>49700</v>
      </c>
      <c r="D276">
        <v>11.21</v>
      </c>
      <c r="E276">
        <v>51.2</v>
      </c>
      <c r="F276">
        <v>0</v>
      </c>
      <c r="G276" t="s">
        <v>7</v>
      </c>
      <c r="H276">
        <v>0</v>
      </c>
      <c r="I276">
        <v>56840</v>
      </c>
      <c r="J276">
        <v>758</v>
      </c>
      <c r="K276" t="str" cm="1">
        <f t="array" ref="K276">_xlfn.IFS(J276&lt;600,"520-599",J276&lt;650,"600-649",J276&lt;700,"650-699",J276&lt;750,"700-749",TRUE,"750+")</f>
        <v>750+</v>
      </c>
      <c r="L276" t="str" cm="1">
        <f t="array" ref="L276">_xlfn.IFS(E276&lt;20,"1. Under 20",E276&lt;30,"2. 20-29",E276&lt;40,"3. 30-39",E276&lt;50,"4. 40-49",E276&lt;60,"5. 50-59",E276&lt;70,"6. 60-69",E276&lt;80,"7. 70-79",TRUE,"8. 80+")</f>
        <v>5. 50-59</v>
      </c>
      <c r="M276" t="str">
        <f t="shared" si="4"/>
        <v>Under 2 years</v>
      </c>
    </row>
    <row r="277" spans="1:13" x14ac:dyDescent="0.25">
      <c r="A277" t="s">
        <v>290</v>
      </c>
      <c r="B277" t="s">
        <v>17</v>
      </c>
      <c r="C277">
        <v>46500</v>
      </c>
      <c r="D277">
        <v>12.61</v>
      </c>
      <c r="E277">
        <v>56.2</v>
      </c>
      <c r="F277">
        <v>0</v>
      </c>
      <c r="G277" t="s">
        <v>2</v>
      </c>
      <c r="H277">
        <v>7</v>
      </c>
      <c r="I277">
        <v>66623</v>
      </c>
      <c r="J277">
        <v>683</v>
      </c>
      <c r="K277" t="str" cm="1">
        <f t="array" ref="K277">_xlfn.IFS(J277&lt;600,"520-599",J277&lt;650,"600-649",J277&lt;700,"650-699",J277&lt;750,"700-749",TRUE,"750+")</f>
        <v>650-699</v>
      </c>
      <c r="L277" t="str" cm="1">
        <f t="array" ref="L277">_xlfn.IFS(E277&lt;20,"1. Under 20",E277&lt;30,"2. 20-29",E277&lt;40,"3. 30-39",E277&lt;50,"4. 40-49",E277&lt;60,"5. 50-59",E277&lt;70,"6. 60-69",E277&lt;80,"7. 70-79",TRUE,"8. 80+")</f>
        <v>5. 50-59</v>
      </c>
      <c r="M277" t="str">
        <f t="shared" si="4"/>
        <v>2+ years</v>
      </c>
    </row>
    <row r="278" spans="1:13" x14ac:dyDescent="0.25">
      <c r="A278" t="s">
        <v>291</v>
      </c>
      <c r="B278" t="s">
        <v>17</v>
      </c>
      <c r="C278">
        <v>4000</v>
      </c>
      <c r="D278">
        <v>7.24</v>
      </c>
      <c r="E278">
        <v>55.6</v>
      </c>
      <c r="F278">
        <v>0</v>
      </c>
      <c r="G278" t="s">
        <v>7</v>
      </c>
      <c r="H278">
        <v>14</v>
      </c>
      <c r="I278">
        <v>129782</v>
      </c>
      <c r="J278">
        <v>816</v>
      </c>
      <c r="K278" t="str" cm="1">
        <f t="array" ref="K278">_xlfn.IFS(J278&lt;600,"520-599",J278&lt;650,"600-649",J278&lt;700,"650-699",J278&lt;750,"700-749",TRUE,"750+")</f>
        <v>750+</v>
      </c>
      <c r="L278" t="str" cm="1">
        <f t="array" ref="L278">_xlfn.IFS(E278&lt;20,"1. Under 20",E278&lt;30,"2. 20-29",E278&lt;40,"3. 30-39",E278&lt;50,"4. 40-49",E278&lt;60,"5. 50-59",E278&lt;70,"6. 60-69",E278&lt;80,"7. 70-79",TRUE,"8. 80+")</f>
        <v>5. 50-59</v>
      </c>
      <c r="M278" t="str">
        <f t="shared" si="4"/>
        <v>2+ years</v>
      </c>
    </row>
    <row r="279" spans="1:13" x14ac:dyDescent="0.25">
      <c r="A279" t="s">
        <v>292</v>
      </c>
      <c r="B279" t="s">
        <v>9</v>
      </c>
      <c r="C279">
        <v>38600</v>
      </c>
      <c r="D279">
        <v>10.06</v>
      </c>
      <c r="E279">
        <v>61.5</v>
      </c>
      <c r="F279">
        <v>1</v>
      </c>
      <c r="G279" t="s">
        <v>7</v>
      </c>
      <c r="H279">
        <v>14</v>
      </c>
      <c r="I279">
        <v>129782</v>
      </c>
      <c r="J279">
        <v>816</v>
      </c>
      <c r="K279" t="str" cm="1">
        <f t="array" ref="K279">_xlfn.IFS(J279&lt;600,"520-599",J279&lt;650,"600-649",J279&lt;700,"650-699",J279&lt;750,"700-749",TRUE,"750+")</f>
        <v>750+</v>
      </c>
      <c r="L279" t="str" cm="1">
        <f t="array" ref="L279">_xlfn.IFS(E279&lt;20,"1. Under 20",E279&lt;30,"2. 20-29",E279&lt;40,"3. 30-39",E279&lt;50,"4. 40-49",E279&lt;60,"5. 50-59",E279&lt;70,"6. 60-69",E279&lt;80,"7. 70-79",TRUE,"8. 80+")</f>
        <v>6. 60-69</v>
      </c>
      <c r="M279" t="str">
        <f t="shared" si="4"/>
        <v>2+ years</v>
      </c>
    </row>
    <row r="280" spans="1:13" x14ac:dyDescent="0.25">
      <c r="A280" t="s">
        <v>293</v>
      </c>
      <c r="B280" t="s">
        <v>15</v>
      </c>
      <c r="C280">
        <v>8100</v>
      </c>
      <c r="D280">
        <v>12</v>
      </c>
      <c r="E280">
        <v>43.4</v>
      </c>
      <c r="F280">
        <v>0</v>
      </c>
      <c r="G280" t="s">
        <v>7</v>
      </c>
      <c r="H280">
        <v>10</v>
      </c>
      <c r="I280">
        <v>72220</v>
      </c>
      <c r="J280">
        <v>711</v>
      </c>
      <c r="K280" t="str" cm="1">
        <f t="array" ref="K280">_xlfn.IFS(J280&lt;600,"520-599",J280&lt;650,"600-649",J280&lt;700,"650-699",J280&lt;750,"700-749",TRUE,"750+")</f>
        <v>700-749</v>
      </c>
      <c r="L280" t="str" cm="1">
        <f t="array" ref="L280">_xlfn.IFS(E280&lt;20,"1. Under 20",E280&lt;30,"2. 20-29",E280&lt;40,"3. 30-39",E280&lt;50,"4. 40-49",E280&lt;60,"5. 50-59",E280&lt;70,"6. 60-69",E280&lt;80,"7. 70-79",TRUE,"8. 80+")</f>
        <v>4. 40-49</v>
      </c>
      <c r="M280" t="str">
        <f t="shared" si="4"/>
        <v>2+ years</v>
      </c>
    </row>
    <row r="281" spans="1:13" x14ac:dyDescent="0.25">
      <c r="A281" t="s">
        <v>294</v>
      </c>
      <c r="B281" t="s">
        <v>17</v>
      </c>
      <c r="C281">
        <v>22300</v>
      </c>
      <c r="D281">
        <v>8.94</v>
      </c>
      <c r="E281">
        <v>25.8</v>
      </c>
      <c r="F281">
        <v>0</v>
      </c>
      <c r="G281" t="s">
        <v>7</v>
      </c>
      <c r="H281">
        <v>7</v>
      </c>
      <c r="I281">
        <v>48955</v>
      </c>
      <c r="J281">
        <v>772</v>
      </c>
      <c r="K281" t="str" cm="1">
        <f t="array" ref="K281">_xlfn.IFS(J281&lt;600,"520-599",J281&lt;650,"600-649",J281&lt;700,"650-699",J281&lt;750,"700-749",TRUE,"750+")</f>
        <v>750+</v>
      </c>
      <c r="L281" t="str" cm="1">
        <f t="array" ref="L281">_xlfn.IFS(E281&lt;20,"1. Under 20",E281&lt;30,"2. 20-29",E281&lt;40,"3. 30-39",E281&lt;50,"4. 40-49",E281&lt;60,"5. 50-59",E281&lt;70,"6. 60-69",E281&lt;80,"7. 70-79",TRUE,"8. 80+")</f>
        <v>2. 20-29</v>
      </c>
      <c r="M281" t="str">
        <f t="shared" si="4"/>
        <v>2+ years</v>
      </c>
    </row>
    <row r="282" spans="1:13" x14ac:dyDescent="0.25">
      <c r="A282" t="s">
        <v>295</v>
      </c>
      <c r="B282" t="s">
        <v>4</v>
      </c>
      <c r="C282">
        <v>21600</v>
      </c>
      <c r="D282">
        <v>11.09</v>
      </c>
      <c r="E282">
        <v>46.2</v>
      </c>
      <c r="F282">
        <v>0</v>
      </c>
      <c r="G282" t="s">
        <v>23</v>
      </c>
      <c r="H282">
        <v>8</v>
      </c>
      <c r="I282">
        <v>75699</v>
      </c>
      <c r="J282">
        <v>820</v>
      </c>
      <c r="K282" t="str" cm="1">
        <f t="array" ref="K282">_xlfn.IFS(J282&lt;600,"520-599",J282&lt;650,"600-649",J282&lt;700,"650-699",J282&lt;750,"700-749",TRUE,"750+")</f>
        <v>750+</v>
      </c>
      <c r="L282" t="str" cm="1">
        <f t="array" ref="L282">_xlfn.IFS(E282&lt;20,"1. Under 20",E282&lt;30,"2. 20-29",E282&lt;40,"3. 30-39",E282&lt;50,"4. 40-49",E282&lt;60,"5. 50-59",E282&lt;70,"6. 60-69",E282&lt;80,"7. 70-79",TRUE,"8. 80+")</f>
        <v>4. 40-49</v>
      </c>
      <c r="M282" t="str">
        <f t="shared" si="4"/>
        <v>2+ years</v>
      </c>
    </row>
    <row r="283" spans="1:13" x14ac:dyDescent="0.25">
      <c r="A283" t="s">
        <v>296</v>
      </c>
      <c r="B283" t="s">
        <v>21</v>
      </c>
      <c r="C283">
        <v>26800</v>
      </c>
      <c r="D283">
        <v>9.7200000000000006</v>
      </c>
      <c r="E283">
        <v>31.1</v>
      </c>
      <c r="F283">
        <v>0</v>
      </c>
      <c r="G283" t="s">
        <v>7</v>
      </c>
      <c r="H283">
        <v>1</v>
      </c>
      <c r="I283">
        <v>116769</v>
      </c>
      <c r="J283">
        <v>642</v>
      </c>
      <c r="K283" t="str" cm="1">
        <f t="array" ref="K283">_xlfn.IFS(J283&lt;600,"520-599",J283&lt;650,"600-649",J283&lt;700,"650-699",J283&lt;750,"700-749",TRUE,"750+")</f>
        <v>600-649</v>
      </c>
      <c r="L283" t="str" cm="1">
        <f t="array" ref="L283">_xlfn.IFS(E283&lt;20,"1. Under 20",E283&lt;30,"2. 20-29",E283&lt;40,"3. 30-39",E283&lt;50,"4. 40-49",E283&lt;60,"5. 50-59",E283&lt;70,"6. 60-69",E283&lt;80,"7. 70-79",TRUE,"8. 80+")</f>
        <v>3. 30-39</v>
      </c>
      <c r="M283" t="str">
        <f t="shared" si="4"/>
        <v>Under 2 years</v>
      </c>
    </row>
    <row r="284" spans="1:13" x14ac:dyDescent="0.25">
      <c r="A284" t="s">
        <v>297</v>
      </c>
      <c r="B284" t="s">
        <v>21</v>
      </c>
      <c r="C284">
        <v>32800</v>
      </c>
      <c r="D284">
        <v>6.69</v>
      </c>
      <c r="E284">
        <v>36.299999999999997</v>
      </c>
      <c r="F284">
        <v>0</v>
      </c>
      <c r="G284" t="s">
        <v>2</v>
      </c>
      <c r="H284">
        <v>1</v>
      </c>
      <c r="I284">
        <v>47895</v>
      </c>
      <c r="J284">
        <v>816</v>
      </c>
      <c r="K284" t="str" cm="1">
        <f t="array" ref="K284">_xlfn.IFS(J284&lt;600,"520-599",J284&lt;650,"600-649",J284&lt;700,"650-699",J284&lt;750,"700-749",TRUE,"750+")</f>
        <v>750+</v>
      </c>
      <c r="L284" t="str" cm="1">
        <f t="array" ref="L284">_xlfn.IFS(E284&lt;20,"1. Under 20",E284&lt;30,"2. 20-29",E284&lt;40,"3. 30-39",E284&lt;50,"4. 40-49",E284&lt;60,"5. 50-59",E284&lt;70,"6. 60-69",E284&lt;80,"7. 70-79",TRUE,"8. 80+")</f>
        <v>3. 30-39</v>
      </c>
      <c r="M284" t="str">
        <f t="shared" si="4"/>
        <v>Under 2 years</v>
      </c>
    </row>
    <row r="285" spans="1:13" x14ac:dyDescent="0.25">
      <c r="A285" t="s">
        <v>298</v>
      </c>
      <c r="B285" t="s">
        <v>9</v>
      </c>
      <c r="C285">
        <v>17100</v>
      </c>
      <c r="D285">
        <v>7.04</v>
      </c>
      <c r="E285">
        <v>60.7</v>
      </c>
      <c r="F285">
        <v>0</v>
      </c>
      <c r="G285" t="s">
        <v>7</v>
      </c>
      <c r="H285">
        <v>0</v>
      </c>
      <c r="I285">
        <v>63656</v>
      </c>
      <c r="J285">
        <v>780</v>
      </c>
      <c r="K285" t="str" cm="1">
        <f t="array" ref="K285">_xlfn.IFS(J285&lt;600,"520-599",J285&lt;650,"600-649",J285&lt;700,"650-699",J285&lt;750,"700-749",TRUE,"750+")</f>
        <v>750+</v>
      </c>
      <c r="L285" t="str" cm="1">
        <f t="array" ref="L285">_xlfn.IFS(E285&lt;20,"1. Under 20",E285&lt;30,"2. 20-29",E285&lt;40,"3. 30-39",E285&lt;50,"4. 40-49",E285&lt;60,"5. 50-59",E285&lt;70,"6. 60-69",E285&lt;80,"7. 70-79",TRUE,"8. 80+")</f>
        <v>6. 60-69</v>
      </c>
      <c r="M285" t="str">
        <f t="shared" si="4"/>
        <v>Under 2 years</v>
      </c>
    </row>
    <row r="286" spans="1:13" x14ac:dyDescent="0.25">
      <c r="A286" t="s">
        <v>299</v>
      </c>
      <c r="B286" t="s">
        <v>19</v>
      </c>
      <c r="C286">
        <v>32000</v>
      </c>
      <c r="D286">
        <v>11.38</v>
      </c>
      <c r="E286">
        <v>44.8</v>
      </c>
      <c r="F286">
        <v>0</v>
      </c>
      <c r="G286" t="s">
        <v>7</v>
      </c>
      <c r="H286">
        <v>19</v>
      </c>
      <c r="I286">
        <v>50940</v>
      </c>
      <c r="J286">
        <v>713</v>
      </c>
      <c r="K286" t="str" cm="1">
        <f t="array" ref="K286">_xlfn.IFS(J286&lt;600,"520-599",J286&lt;650,"600-649",J286&lt;700,"650-699",J286&lt;750,"700-749",TRUE,"750+")</f>
        <v>700-749</v>
      </c>
      <c r="L286" t="str" cm="1">
        <f t="array" ref="L286">_xlfn.IFS(E286&lt;20,"1. Under 20",E286&lt;30,"2. 20-29",E286&lt;40,"3. 30-39",E286&lt;50,"4. 40-49",E286&lt;60,"5. 50-59",E286&lt;70,"6. 60-69",E286&lt;80,"7. 70-79",TRUE,"8. 80+")</f>
        <v>4. 40-49</v>
      </c>
      <c r="M286" t="str">
        <f t="shared" si="4"/>
        <v>2+ years</v>
      </c>
    </row>
    <row r="287" spans="1:13" x14ac:dyDescent="0.25">
      <c r="A287" t="s">
        <v>300</v>
      </c>
      <c r="B287" t="s">
        <v>9</v>
      </c>
      <c r="C287">
        <v>22300</v>
      </c>
      <c r="D287">
        <v>11.48</v>
      </c>
      <c r="E287">
        <v>49.1</v>
      </c>
      <c r="F287">
        <v>0</v>
      </c>
      <c r="G287" t="s">
        <v>10</v>
      </c>
      <c r="H287">
        <v>20</v>
      </c>
      <c r="I287">
        <v>98934</v>
      </c>
      <c r="J287">
        <v>729</v>
      </c>
      <c r="K287" t="str" cm="1">
        <f t="array" ref="K287">_xlfn.IFS(J287&lt;600,"520-599",J287&lt;650,"600-649",J287&lt;700,"650-699",J287&lt;750,"700-749",TRUE,"750+")</f>
        <v>700-749</v>
      </c>
      <c r="L287" t="str" cm="1">
        <f t="array" ref="L287">_xlfn.IFS(E287&lt;20,"1. Under 20",E287&lt;30,"2. 20-29",E287&lt;40,"3. 30-39",E287&lt;50,"4. 40-49",E287&lt;60,"5. 50-59",E287&lt;70,"6. 60-69",E287&lt;80,"7. 70-79",TRUE,"8. 80+")</f>
        <v>4. 40-49</v>
      </c>
      <c r="M287" t="str">
        <f t="shared" si="4"/>
        <v>2+ years</v>
      </c>
    </row>
    <row r="288" spans="1:13" x14ac:dyDescent="0.25">
      <c r="A288" t="s">
        <v>301</v>
      </c>
      <c r="B288" t="s">
        <v>9</v>
      </c>
      <c r="C288">
        <v>24100</v>
      </c>
      <c r="D288">
        <v>7.82</v>
      </c>
      <c r="E288">
        <v>72.2</v>
      </c>
      <c r="F288">
        <v>0</v>
      </c>
      <c r="G288" t="s">
        <v>29</v>
      </c>
      <c r="H288">
        <v>2</v>
      </c>
      <c r="I288">
        <v>33693</v>
      </c>
      <c r="J288">
        <v>738</v>
      </c>
      <c r="K288" t="str" cm="1">
        <f t="array" ref="K288">_xlfn.IFS(J288&lt;600,"520-599",J288&lt;650,"600-649",J288&lt;700,"650-699",J288&lt;750,"700-749",TRUE,"750+")</f>
        <v>700-749</v>
      </c>
      <c r="L288" t="str" cm="1">
        <f t="array" ref="L288">_xlfn.IFS(E288&lt;20,"1. Under 20",E288&lt;30,"2. 20-29",E288&lt;40,"3. 30-39",E288&lt;50,"4. 40-49",E288&lt;60,"5. 50-59",E288&lt;70,"6. 60-69",E288&lt;80,"7. 70-79",TRUE,"8. 80+")</f>
        <v>7. 70-79</v>
      </c>
      <c r="M288" t="str">
        <f t="shared" si="4"/>
        <v>2+ years</v>
      </c>
    </row>
    <row r="289" spans="1:13" x14ac:dyDescent="0.25">
      <c r="A289" t="s">
        <v>302</v>
      </c>
      <c r="B289" t="s">
        <v>17</v>
      </c>
      <c r="C289">
        <v>42400</v>
      </c>
      <c r="D289">
        <v>11.95</v>
      </c>
      <c r="E289">
        <v>48.1</v>
      </c>
      <c r="F289">
        <v>1</v>
      </c>
      <c r="G289" t="s">
        <v>2</v>
      </c>
      <c r="H289">
        <v>15</v>
      </c>
      <c r="I289">
        <v>84293</v>
      </c>
      <c r="J289">
        <v>671</v>
      </c>
      <c r="K289" t="str" cm="1">
        <f t="array" ref="K289">_xlfn.IFS(J289&lt;600,"520-599",J289&lt;650,"600-649",J289&lt;700,"650-699",J289&lt;750,"700-749",TRUE,"750+")</f>
        <v>650-699</v>
      </c>
      <c r="L289" t="str" cm="1">
        <f t="array" ref="L289">_xlfn.IFS(E289&lt;20,"1. Under 20",E289&lt;30,"2. 20-29",E289&lt;40,"3. 30-39",E289&lt;50,"4. 40-49",E289&lt;60,"5. 50-59",E289&lt;70,"6. 60-69",E289&lt;80,"7. 70-79",TRUE,"8. 80+")</f>
        <v>4. 40-49</v>
      </c>
      <c r="M289" t="str">
        <f t="shared" si="4"/>
        <v>2+ years</v>
      </c>
    </row>
    <row r="290" spans="1:13" x14ac:dyDescent="0.25">
      <c r="A290" t="s">
        <v>303</v>
      </c>
      <c r="B290" t="s">
        <v>1</v>
      </c>
      <c r="C290">
        <v>37400</v>
      </c>
      <c r="D290">
        <v>10.51</v>
      </c>
      <c r="E290">
        <v>41.7</v>
      </c>
      <c r="F290">
        <v>0</v>
      </c>
      <c r="G290" t="s">
        <v>2</v>
      </c>
      <c r="H290">
        <v>15</v>
      </c>
      <c r="I290">
        <v>84293</v>
      </c>
      <c r="J290">
        <v>671</v>
      </c>
      <c r="K290" t="str" cm="1">
        <f t="array" ref="K290">_xlfn.IFS(J290&lt;600,"520-599",J290&lt;650,"600-649",J290&lt;700,"650-699",J290&lt;750,"700-749",TRUE,"750+")</f>
        <v>650-699</v>
      </c>
      <c r="L290" t="str" cm="1">
        <f t="array" ref="L290">_xlfn.IFS(E290&lt;20,"1. Under 20",E290&lt;30,"2. 20-29",E290&lt;40,"3. 30-39",E290&lt;50,"4. 40-49",E290&lt;60,"5. 50-59",E290&lt;70,"6. 60-69",E290&lt;80,"7. 70-79",TRUE,"8. 80+")</f>
        <v>4. 40-49</v>
      </c>
      <c r="M290" t="str">
        <f t="shared" si="4"/>
        <v>2+ years</v>
      </c>
    </row>
    <row r="291" spans="1:13" x14ac:dyDescent="0.25">
      <c r="A291" t="s">
        <v>304</v>
      </c>
      <c r="B291" t="s">
        <v>6</v>
      </c>
      <c r="C291">
        <v>13200</v>
      </c>
      <c r="D291">
        <v>8.17</v>
      </c>
      <c r="E291">
        <v>57.1</v>
      </c>
      <c r="F291">
        <v>0</v>
      </c>
      <c r="G291" t="s">
        <v>7</v>
      </c>
      <c r="H291">
        <v>11</v>
      </c>
      <c r="I291">
        <v>116402</v>
      </c>
      <c r="J291">
        <v>795</v>
      </c>
      <c r="K291" t="str" cm="1">
        <f t="array" ref="K291">_xlfn.IFS(J291&lt;600,"520-599",J291&lt;650,"600-649",J291&lt;700,"650-699",J291&lt;750,"700-749",TRUE,"750+")</f>
        <v>750+</v>
      </c>
      <c r="L291" t="str" cm="1">
        <f t="array" ref="L291">_xlfn.IFS(E291&lt;20,"1. Under 20",E291&lt;30,"2. 20-29",E291&lt;40,"3. 30-39",E291&lt;50,"4. 40-49",E291&lt;60,"5. 50-59",E291&lt;70,"6. 60-69",E291&lt;80,"7. 70-79",TRUE,"8. 80+")</f>
        <v>5. 50-59</v>
      </c>
      <c r="M291" t="str">
        <f t="shared" si="4"/>
        <v>2+ years</v>
      </c>
    </row>
    <row r="292" spans="1:13" x14ac:dyDescent="0.25">
      <c r="A292" t="s">
        <v>305</v>
      </c>
      <c r="B292" t="s">
        <v>13</v>
      </c>
      <c r="C292">
        <v>11200</v>
      </c>
      <c r="D292">
        <v>9.02</v>
      </c>
      <c r="E292">
        <v>56.5</v>
      </c>
      <c r="F292">
        <v>0</v>
      </c>
      <c r="G292" t="s">
        <v>7</v>
      </c>
      <c r="H292">
        <v>11</v>
      </c>
      <c r="I292">
        <v>116402</v>
      </c>
      <c r="J292">
        <v>795</v>
      </c>
      <c r="K292" t="str" cm="1">
        <f t="array" ref="K292">_xlfn.IFS(J292&lt;600,"520-599",J292&lt;650,"600-649",J292&lt;700,"650-699",J292&lt;750,"700-749",TRUE,"750+")</f>
        <v>750+</v>
      </c>
      <c r="L292" t="str" cm="1">
        <f t="array" ref="L292">_xlfn.IFS(E292&lt;20,"1. Under 20",E292&lt;30,"2. 20-29",E292&lt;40,"3. 30-39",E292&lt;50,"4. 40-49",E292&lt;60,"5. 50-59",E292&lt;70,"6. 60-69",E292&lt;80,"7. 70-79",TRUE,"8. 80+")</f>
        <v>5. 50-59</v>
      </c>
      <c r="M292" t="str">
        <f t="shared" si="4"/>
        <v>2+ years</v>
      </c>
    </row>
    <row r="293" spans="1:13" x14ac:dyDescent="0.25">
      <c r="A293" t="s">
        <v>306</v>
      </c>
      <c r="B293" t="s">
        <v>15</v>
      </c>
      <c r="C293">
        <v>22800</v>
      </c>
      <c r="D293">
        <v>14.15</v>
      </c>
      <c r="E293">
        <v>25.2</v>
      </c>
      <c r="F293">
        <v>0</v>
      </c>
      <c r="G293" t="s">
        <v>10</v>
      </c>
      <c r="H293">
        <v>0</v>
      </c>
      <c r="I293">
        <v>55670</v>
      </c>
      <c r="J293">
        <v>554</v>
      </c>
      <c r="K293" t="str" cm="1">
        <f t="array" ref="K293">_xlfn.IFS(J293&lt;600,"520-599",J293&lt;650,"600-649",J293&lt;700,"650-699",J293&lt;750,"700-749",TRUE,"750+")</f>
        <v>520-599</v>
      </c>
      <c r="L293" t="str" cm="1">
        <f t="array" ref="L293">_xlfn.IFS(E293&lt;20,"1. Under 20",E293&lt;30,"2. 20-29",E293&lt;40,"3. 30-39",E293&lt;50,"4. 40-49",E293&lt;60,"5. 50-59",E293&lt;70,"6. 60-69",E293&lt;80,"7. 70-79",TRUE,"8. 80+")</f>
        <v>2. 20-29</v>
      </c>
      <c r="M293" t="str">
        <f t="shared" si="4"/>
        <v>Under 2 years</v>
      </c>
    </row>
    <row r="294" spans="1:13" x14ac:dyDescent="0.25">
      <c r="A294" t="s">
        <v>307</v>
      </c>
      <c r="B294" t="s">
        <v>1</v>
      </c>
      <c r="C294">
        <v>37700</v>
      </c>
      <c r="D294">
        <v>9.64</v>
      </c>
      <c r="E294">
        <v>70</v>
      </c>
      <c r="F294">
        <v>0</v>
      </c>
      <c r="G294" t="s">
        <v>7</v>
      </c>
      <c r="H294">
        <v>10</v>
      </c>
      <c r="I294">
        <v>35536</v>
      </c>
      <c r="J294">
        <v>841</v>
      </c>
      <c r="K294" t="str" cm="1">
        <f t="array" ref="K294">_xlfn.IFS(J294&lt;600,"520-599",J294&lt;650,"600-649",J294&lt;700,"650-699",J294&lt;750,"700-749",TRUE,"750+")</f>
        <v>750+</v>
      </c>
      <c r="L294" t="str" cm="1">
        <f t="array" ref="L294">_xlfn.IFS(E294&lt;20,"1. Under 20",E294&lt;30,"2. 20-29",E294&lt;40,"3. 30-39",E294&lt;50,"4. 40-49",E294&lt;60,"5. 50-59",E294&lt;70,"6. 60-69",E294&lt;80,"7. 70-79",TRUE,"8. 80+")</f>
        <v>7. 70-79</v>
      </c>
      <c r="M294" t="str">
        <f t="shared" si="4"/>
        <v>2+ years</v>
      </c>
    </row>
    <row r="295" spans="1:13" x14ac:dyDescent="0.25">
      <c r="A295" t="s">
        <v>308</v>
      </c>
      <c r="B295" t="s">
        <v>15</v>
      </c>
      <c r="C295">
        <v>10400</v>
      </c>
      <c r="D295">
        <v>7.41</v>
      </c>
      <c r="E295">
        <v>65.5</v>
      </c>
      <c r="F295">
        <v>0</v>
      </c>
      <c r="G295" t="s">
        <v>23</v>
      </c>
      <c r="H295">
        <v>2</v>
      </c>
      <c r="I295">
        <v>12549</v>
      </c>
      <c r="J295">
        <v>791</v>
      </c>
      <c r="K295" t="str" cm="1">
        <f t="array" ref="K295">_xlfn.IFS(J295&lt;600,"520-599",J295&lt;650,"600-649",J295&lt;700,"650-699",J295&lt;750,"700-749",TRUE,"750+")</f>
        <v>750+</v>
      </c>
      <c r="L295" t="str" cm="1">
        <f t="array" ref="L295">_xlfn.IFS(E295&lt;20,"1. Under 20",E295&lt;30,"2. 20-29",E295&lt;40,"3. 30-39",E295&lt;50,"4. 40-49",E295&lt;60,"5. 50-59",E295&lt;70,"6. 60-69",E295&lt;80,"7. 70-79",TRUE,"8. 80+")</f>
        <v>6. 60-69</v>
      </c>
      <c r="M295" t="str">
        <f t="shared" si="4"/>
        <v>2+ years</v>
      </c>
    </row>
    <row r="296" spans="1:13" x14ac:dyDescent="0.25">
      <c r="A296" t="s">
        <v>309</v>
      </c>
      <c r="B296" t="s">
        <v>17</v>
      </c>
      <c r="C296">
        <v>14200</v>
      </c>
      <c r="D296">
        <v>12.28</v>
      </c>
      <c r="E296">
        <v>66.2</v>
      </c>
      <c r="F296">
        <v>1</v>
      </c>
      <c r="G296" t="s">
        <v>29</v>
      </c>
      <c r="H296">
        <v>33</v>
      </c>
      <c r="I296">
        <v>31222</v>
      </c>
      <c r="J296">
        <v>574</v>
      </c>
      <c r="K296" t="str" cm="1">
        <f t="array" ref="K296">_xlfn.IFS(J296&lt;600,"520-599",J296&lt;650,"600-649",J296&lt;700,"650-699",J296&lt;750,"700-749",TRUE,"750+")</f>
        <v>520-599</v>
      </c>
      <c r="L296" t="str" cm="1">
        <f t="array" ref="L296">_xlfn.IFS(E296&lt;20,"1. Under 20",E296&lt;30,"2. 20-29",E296&lt;40,"3. 30-39",E296&lt;50,"4. 40-49",E296&lt;60,"5. 50-59",E296&lt;70,"6. 60-69",E296&lt;80,"7. 70-79",TRUE,"8. 80+")</f>
        <v>6. 60-69</v>
      </c>
      <c r="M296" t="str">
        <f t="shared" si="4"/>
        <v>2+ years</v>
      </c>
    </row>
    <row r="297" spans="1:13" x14ac:dyDescent="0.25">
      <c r="A297" t="s">
        <v>310</v>
      </c>
      <c r="B297" t="s">
        <v>9</v>
      </c>
      <c r="C297">
        <v>16600</v>
      </c>
      <c r="D297">
        <v>7.86</v>
      </c>
      <c r="E297">
        <v>49.6</v>
      </c>
      <c r="F297">
        <v>0</v>
      </c>
      <c r="G297" t="s">
        <v>7</v>
      </c>
      <c r="H297">
        <v>14</v>
      </c>
      <c r="I297">
        <v>46634</v>
      </c>
      <c r="J297">
        <v>737</v>
      </c>
      <c r="K297" t="str" cm="1">
        <f t="array" ref="K297">_xlfn.IFS(J297&lt;600,"520-599",J297&lt;650,"600-649",J297&lt;700,"650-699",J297&lt;750,"700-749",TRUE,"750+")</f>
        <v>700-749</v>
      </c>
      <c r="L297" t="str" cm="1">
        <f t="array" ref="L297">_xlfn.IFS(E297&lt;20,"1. Under 20",E297&lt;30,"2. 20-29",E297&lt;40,"3. 30-39",E297&lt;50,"4. 40-49",E297&lt;60,"5. 50-59",E297&lt;70,"6. 60-69",E297&lt;80,"7. 70-79",TRUE,"8. 80+")</f>
        <v>4. 40-49</v>
      </c>
      <c r="M297" t="str">
        <f t="shared" si="4"/>
        <v>2+ years</v>
      </c>
    </row>
    <row r="298" spans="1:13" x14ac:dyDescent="0.25">
      <c r="A298" t="s">
        <v>311</v>
      </c>
      <c r="B298" t="s">
        <v>9</v>
      </c>
      <c r="C298">
        <v>41100</v>
      </c>
      <c r="D298">
        <v>10.23</v>
      </c>
      <c r="E298">
        <v>50.9</v>
      </c>
      <c r="F298">
        <v>1</v>
      </c>
      <c r="G298" t="s">
        <v>10</v>
      </c>
      <c r="H298">
        <v>6</v>
      </c>
      <c r="I298">
        <v>89061</v>
      </c>
      <c r="J298">
        <v>587</v>
      </c>
      <c r="K298" t="str" cm="1">
        <f t="array" ref="K298">_xlfn.IFS(J298&lt;600,"520-599",J298&lt;650,"600-649",J298&lt;700,"650-699",J298&lt;750,"700-749",TRUE,"750+")</f>
        <v>520-599</v>
      </c>
      <c r="L298" t="str" cm="1">
        <f t="array" ref="L298">_xlfn.IFS(E298&lt;20,"1. Under 20",E298&lt;30,"2. 20-29",E298&lt;40,"3. 30-39",E298&lt;50,"4. 40-49",E298&lt;60,"5. 50-59",E298&lt;70,"6. 60-69",E298&lt;80,"7. 70-79",TRUE,"8. 80+")</f>
        <v>5. 50-59</v>
      </c>
      <c r="M298" t="str">
        <f t="shared" si="4"/>
        <v>2+ years</v>
      </c>
    </row>
    <row r="299" spans="1:13" x14ac:dyDescent="0.25">
      <c r="A299" t="s">
        <v>312</v>
      </c>
      <c r="B299" t="s">
        <v>4</v>
      </c>
      <c r="C299">
        <v>16900</v>
      </c>
      <c r="D299">
        <v>14.72</v>
      </c>
      <c r="E299">
        <v>43.1</v>
      </c>
      <c r="F299">
        <v>0</v>
      </c>
      <c r="G299" t="s">
        <v>10</v>
      </c>
      <c r="H299">
        <v>6</v>
      </c>
      <c r="I299">
        <v>89061</v>
      </c>
      <c r="J299">
        <v>587</v>
      </c>
      <c r="K299" t="str" cm="1">
        <f t="array" ref="K299">_xlfn.IFS(J299&lt;600,"520-599",J299&lt;650,"600-649",J299&lt;700,"650-699",J299&lt;750,"700-749",TRUE,"750+")</f>
        <v>520-599</v>
      </c>
      <c r="L299" t="str" cm="1">
        <f t="array" ref="L299">_xlfn.IFS(E299&lt;20,"1. Under 20",E299&lt;30,"2. 20-29",E299&lt;40,"3. 30-39",E299&lt;50,"4. 40-49",E299&lt;60,"5. 50-59",E299&lt;70,"6. 60-69",E299&lt;80,"7. 70-79",TRUE,"8. 80+")</f>
        <v>4. 40-49</v>
      </c>
      <c r="M299" t="str">
        <f t="shared" si="4"/>
        <v>2+ years</v>
      </c>
    </row>
    <row r="300" spans="1:13" x14ac:dyDescent="0.25">
      <c r="A300" t="s">
        <v>313</v>
      </c>
      <c r="B300" t="s">
        <v>6</v>
      </c>
      <c r="C300">
        <v>31000</v>
      </c>
      <c r="D300">
        <v>9.18</v>
      </c>
      <c r="E300">
        <v>40.200000000000003</v>
      </c>
      <c r="F300">
        <v>1</v>
      </c>
      <c r="G300" t="s">
        <v>7</v>
      </c>
      <c r="H300">
        <v>6</v>
      </c>
      <c r="I300">
        <v>37673</v>
      </c>
      <c r="J300">
        <v>694</v>
      </c>
      <c r="K300" t="str" cm="1">
        <f t="array" ref="K300">_xlfn.IFS(J300&lt;600,"520-599",J300&lt;650,"600-649",J300&lt;700,"650-699",J300&lt;750,"700-749",TRUE,"750+")</f>
        <v>650-699</v>
      </c>
      <c r="L300" t="str" cm="1">
        <f t="array" ref="L300">_xlfn.IFS(E300&lt;20,"1. Under 20",E300&lt;30,"2. 20-29",E300&lt;40,"3. 30-39",E300&lt;50,"4. 40-49",E300&lt;60,"5. 50-59",E300&lt;70,"6. 60-69",E300&lt;80,"7. 70-79",TRUE,"8. 80+")</f>
        <v>4. 40-49</v>
      </c>
      <c r="M300" t="str">
        <f t="shared" si="4"/>
        <v>2+ years</v>
      </c>
    </row>
    <row r="301" spans="1:13" x14ac:dyDescent="0.25">
      <c r="A301" t="s">
        <v>314</v>
      </c>
      <c r="B301" t="s">
        <v>4</v>
      </c>
      <c r="C301">
        <v>3800</v>
      </c>
      <c r="D301">
        <v>14.21</v>
      </c>
      <c r="E301">
        <v>16.100000000000001</v>
      </c>
      <c r="F301">
        <v>0</v>
      </c>
      <c r="G301" t="s">
        <v>7</v>
      </c>
      <c r="H301">
        <v>17</v>
      </c>
      <c r="I301">
        <v>58595</v>
      </c>
      <c r="J301">
        <v>568</v>
      </c>
      <c r="K301" t="str" cm="1">
        <f t="array" ref="K301">_xlfn.IFS(J301&lt;600,"520-599",J301&lt;650,"600-649",J301&lt;700,"650-699",J301&lt;750,"700-749",TRUE,"750+")</f>
        <v>520-599</v>
      </c>
      <c r="L301" t="str" cm="1">
        <f t="array" ref="L301">_xlfn.IFS(E301&lt;20,"1. Under 20",E301&lt;30,"2. 20-29",E301&lt;40,"3. 30-39",E301&lt;50,"4. 40-49",E301&lt;60,"5. 50-59",E301&lt;70,"6. 60-69",E301&lt;80,"7. 70-79",TRUE,"8. 80+")</f>
        <v>1. Under 20</v>
      </c>
      <c r="M301" t="str">
        <f t="shared" si="4"/>
        <v>2+ years</v>
      </c>
    </row>
    <row r="302" spans="1:13" x14ac:dyDescent="0.25">
      <c r="A302" t="s">
        <v>315</v>
      </c>
      <c r="B302" t="s">
        <v>9</v>
      </c>
      <c r="C302">
        <v>5100</v>
      </c>
      <c r="D302">
        <v>8.2899999999999991</v>
      </c>
      <c r="E302">
        <v>51.2</v>
      </c>
      <c r="F302">
        <v>0</v>
      </c>
      <c r="G302" t="s">
        <v>7</v>
      </c>
      <c r="H302">
        <v>2</v>
      </c>
      <c r="I302">
        <v>27475</v>
      </c>
      <c r="J302">
        <v>728</v>
      </c>
      <c r="K302" t="str" cm="1">
        <f t="array" ref="K302">_xlfn.IFS(J302&lt;600,"520-599",J302&lt;650,"600-649",J302&lt;700,"650-699",J302&lt;750,"700-749",TRUE,"750+")</f>
        <v>700-749</v>
      </c>
      <c r="L302" t="str" cm="1">
        <f t="array" ref="L302">_xlfn.IFS(E302&lt;20,"1. Under 20",E302&lt;30,"2. 20-29",E302&lt;40,"3. 30-39",E302&lt;50,"4. 40-49",E302&lt;60,"5. 50-59",E302&lt;70,"6. 60-69",E302&lt;80,"7. 70-79",TRUE,"8. 80+")</f>
        <v>5. 50-59</v>
      </c>
      <c r="M302" t="str">
        <f t="shared" si="4"/>
        <v>2+ years</v>
      </c>
    </row>
    <row r="303" spans="1:13" x14ac:dyDescent="0.25">
      <c r="A303" t="s">
        <v>316</v>
      </c>
      <c r="B303" t="s">
        <v>21</v>
      </c>
      <c r="C303">
        <v>27200</v>
      </c>
      <c r="D303">
        <v>14.71</v>
      </c>
      <c r="E303">
        <v>66.5</v>
      </c>
      <c r="F303">
        <v>0</v>
      </c>
      <c r="G303" t="s">
        <v>7</v>
      </c>
      <c r="H303">
        <v>25</v>
      </c>
      <c r="I303">
        <v>65089</v>
      </c>
      <c r="J303">
        <v>606</v>
      </c>
      <c r="K303" t="str" cm="1">
        <f t="array" ref="K303">_xlfn.IFS(J303&lt;600,"520-599",J303&lt;650,"600-649",J303&lt;700,"650-699",J303&lt;750,"700-749",TRUE,"750+")</f>
        <v>600-649</v>
      </c>
      <c r="L303" t="str" cm="1">
        <f t="array" ref="L303">_xlfn.IFS(E303&lt;20,"1. Under 20",E303&lt;30,"2. 20-29",E303&lt;40,"3. 30-39",E303&lt;50,"4. 40-49",E303&lt;60,"5. 50-59",E303&lt;70,"6. 60-69",E303&lt;80,"7. 70-79",TRUE,"8. 80+")</f>
        <v>6. 60-69</v>
      </c>
      <c r="M303" t="str">
        <f t="shared" si="4"/>
        <v>2+ years</v>
      </c>
    </row>
    <row r="304" spans="1:13" x14ac:dyDescent="0.25">
      <c r="A304" t="s">
        <v>317</v>
      </c>
      <c r="B304" t="s">
        <v>1</v>
      </c>
      <c r="C304">
        <v>12100</v>
      </c>
      <c r="D304">
        <v>10.28</v>
      </c>
      <c r="E304">
        <v>52.7</v>
      </c>
      <c r="F304">
        <v>0</v>
      </c>
      <c r="G304" t="s">
        <v>7</v>
      </c>
      <c r="H304">
        <v>19</v>
      </c>
      <c r="I304">
        <v>51921</v>
      </c>
      <c r="J304">
        <v>704</v>
      </c>
      <c r="K304" t="str" cm="1">
        <f t="array" ref="K304">_xlfn.IFS(J304&lt;600,"520-599",J304&lt;650,"600-649",J304&lt;700,"650-699",J304&lt;750,"700-749",TRUE,"750+")</f>
        <v>700-749</v>
      </c>
      <c r="L304" t="str" cm="1">
        <f t="array" ref="L304">_xlfn.IFS(E304&lt;20,"1. Under 20",E304&lt;30,"2. 20-29",E304&lt;40,"3. 30-39",E304&lt;50,"4. 40-49",E304&lt;60,"5. 50-59",E304&lt;70,"6. 60-69",E304&lt;80,"7. 70-79",TRUE,"8. 80+")</f>
        <v>5. 50-59</v>
      </c>
      <c r="M304" t="str">
        <f t="shared" si="4"/>
        <v>2+ years</v>
      </c>
    </row>
    <row r="305" spans="1:13" x14ac:dyDescent="0.25">
      <c r="A305" t="s">
        <v>318</v>
      </c>
      <c r="B305" t="s">
        <v>15</v>
      </c>
      <c r="C305">
        <v>35900</v>
      </c>
      <c r="D305">
        <v>10.18</v>
      </c>
      <c r="E305">
        <v>70.5</v>
      </c>
      <c r="F305">
        <v>1</v>
      </c>
      <c r="G305" t="s">
        <v>7</v>
      </c>
      <c r="H305">
        <v>19</v>
      </c>
      <c r="I305">
        <v>51921</v>
      </c>
      <c r="J305">
        <v>704</v>
      </c>
      <c r="K305" t="str" cm="1">
        <f t="array" ref="K305">_xlfn.IFS(J305&lt;600,"520-599",J305&lt;650,"600-649",J305&lt;700,"650-699",J305&lt;750,"700-749",TRUE,"750+")</f>
        <v>700-749</v>
      </c>
      <c r="L305" t="str" cm="1">
        <f t="array" ref="L305">_xlfn.IFS(E305&lt;20,"1. Under 20",E305&lt;30,"2. 20-29",E305&lt;40,"3. 30-39",E305&lt;50,"4. 40-49",E305&lt;60,"5. 50-59",E305&lt;70,"6. 60-69",E305&lt;80,"7. 70-79",TRUE,"8. 80+")</f>
        <v>7. 70-79</v>
      </c>
      <c r="M305" t="str">
        <f t="shared" si="4"/>
        <v>2+ years</v>
      </c>
    </row>
    <row r="306" spans="1:13" x14ac:dyDescent="0.25">
      <c r="A306" t="s">
        <v>319</v>
      </c>
      <c r="B306" t="s">
        <v>9</v>
      </c>
      <c r="C306">
        <v>9900</v>
      </c>
      <c r="D306">
        <v>9.92</v>
      </c>
      <c r="E306">
        <v>54</v>
      </c>
      <c r="F306">
        <v>0</v>
      </c>
      <c r="G306" t="s">
        <v>2</v>
      </c>
      <c r="H306">
        <v>2</v>
      </c>
      <c r="I306">
        <v>69345</v>
      </c>
      <c r="J306">
        <v>651</v>
      </c>
      <c r="K306" t="str" cm="1">
        <f t="array" ref="K306">_xlfn.IFS(J306&lt;600,"520-599",J306&lt;650,"600-649",J306&lt;700,"650-699",J306&lt;750,"700-749",TRUE,"750+")</f>
        <v>650-699</v>
      </c>
      <c r="L306" t="str" cm="1">
        <f t="array" ref="L306">_xlfn.IFS(E306&lt;20,"1. Under 20",E306&lt;30,"2. 20-29",E306&lt;40,"3. 30-39",E306&lt;50,"4. 40-49",E306&lt;60,"5. 50-59",E306&lt;70,"6. 60-69",E306&lt;80,"7. 70-79",TRUE,"8. 80+")</f>
        <v>5. 50-59</v>
      </c>
      <c r="M306" t="str">
        <f t="shared" si="4"/>
        <v>2+ years</v>
      </c>
    </row>
    <row r="307" spans="1:13" x14ac:dyDescent="0.25">
      <c r="A307" t="s">
        <v>320</v>
      </c>
      <c r="B307" t="s">
        <v>21</v>
      </c>
      <c r="C307">
        <v>5700</v>
      </c>
      <c r="D307">
        <v>11.13</v>
      </c>
      <c r="E307">
        <v>49.6</v>
      </c>
      <c r="F307">
        <v>0</v>
      </c>
      <c r="G307" t="s">
        <v>2</v>
      </c>
      <c r="H307">
        <v>4</v>
      </c>
      <c r="I307">
        <v>59445</v>
      </c>
      <c r="J307">
        <v>656</v>
      </c>
      <c r="K307" t="str" cm="1">
        <f t="array" ref="K307">_xlfn.IFS(J307&lt;600,"520-599",J307&lt;650,"600-649",J307&lt;700,"650-699",J307&lt;750,"700-749",TRUE,"750+")</f>
        <v>650-699</v>
      </c>
      <c r="L307" t="str" cm="1">
        <f t="array" ref="L307">_xlfn.IFS(E307&lt;20,"1. Under 20",E307&lt;30,"2. 20-29",E307&lt;40,"3. 30-39",E307&lt;50,"4. 40-49",E307&lt;60,"5. 50-59",E307&lt;70,"6. 60-69",E307&lt;80,"7. 70-79",TRUE,"8. 80+")</f>
        <v>4. 40-49</v>
      </c>
      <c r="M307" t="str">
        <f t="shared" si="4"/>
        <v>2+ years</v>
      </c>
    </row>
    <row r="308" spans="1:13" x14ac:dyDescent="0.25">
      <c r="A308" t="s">
        <v>321</v>
      </c>
      <c r="B308" t="s">
        <v>19</v>
      </c>
      <c r="C308">
        <v>30100</v>
      </c>
      <c r="D308">
        <v>13.59</v>
      </c>
      <c r="E308">
        <v>27</v>
      </c>
      <c r="F308">
        <v>0</v>
      </c>
      <c r="G308" t="s">
        <v>7</v>
      </c>
      <c r="H308">
        <v>4</v>
      </c>
      <c r="I308">
        <v>63742</v>
      </c>
      <c r="J308">
        <v>537</v>
      </c>
      <c r="K308" t="str" cm="1">
        <f t="array" ref="K308">_xlfn.IFS(J308&lt;600,"520-599",J308&lt;650,"600-649",J308&lt;700,"650-699",J308&lt;750,"700-749",TRUE,"750+")</f>
        <v>520-599</v>
      </c>
      <c r="L308" t="str" cm="1">
        <f t="array" ref="L308">_xlfn.IFS(E308&lt;20,"1. Under 20",E308&lt;30,"2. 20-29",E308&lt;40,"3. 30-39",E308&lt;50,"4. 40-49",E308&lt;60,"5. 50-59",E308&lt;70,"6. 60-69",E308&lt;80,"7. 70-79",TRUE,"8. 80+")</f>
        <v>2. 20-29</v>
      </c>
      <c r="M308" t="str">
        <f t="shared" si="4"/>
        <v>2+ years</v>
      </c>
    </row>
    <row r="309" spans="1:13" x14ac:dyDescent="0.25">
      <c r="A309" t="s">
        <v>322</v>
      </c>
      <c r="B309" t="s">
        <v>4</v>
      </c>
      <c r="C309">
        <v>2400</v>
      </c>
      <c r="D309">
        <v>14.87</v>
      </c>
      <c r="E309">
        <v>38.299999999999997</v>
      </c>
      <c r="F309">
        <v>1</v>
      </c>
      <c r="G309" t="s">
        <v>23</v>
      </c>
      <c r="H309">
        <v>0</v>
      </c>
      <c r="I309">
        <v>40311</v>
      </c>
      <c r="J309">
        <v>582</v>
      </c>
      <c r="K309" t="str" cm="1">
        <f t="array" ref="K309">_xlfn.IFS(J309&lt;600,"520-599",J309&lt;650,"600-649",J309&lt;700,"650-699",J309&lt;750,"700-749",TRUE,"750+")</f>
        <v>520-599</v>
      </c>
      <c r="L309" t="str" cm="1">
        <f t="array" ref="L309">_xlfn.IFS(E309&lt;20,"1. Under 20",E309&lt;30,"2. 20-29",E309&lt;40,"3. 30-39",E309&lt;50,"4. 40-49",E309&lt;60,"5. 50-59",E309&lt;70,"6. 60-69",E309&lt;80,"7. 70-79",TRUE,"8. 80+")</f>
        <v>3. 30-39</v>
      </c>
      <c r="M309" t="str">
        <f t="shared" si="4"/>
        <v>Under 2 years</v>
      </c>
    </row>
    <row r="310" spans="1:13" x14ac:dyDescent="0.25">
      <c r="A310" t="s">
        <v>323</v>
      </c>
      <c r="B310" t="s">
        <v>19</v>
      </c>
      <c r="C310">
        <v>33300</v>
      </c>
      <c r="D310">
        <v>11.81</v>
      </c>
      <c r="E310">
        <v>34.299999999999997</v>
      </c>
      <c r="F310">
        <v>0</v>
      </c>
      <c r="G310" t="s">
        <v>7</v>
      </c>
      <c r="H310">
        <v>17</v>
      </c>
      <c r="I310">
        <v>90104</v>
      </c>
      <c r="J310">
        <v>583</v>
      </c>
      <c r="K310" t="str" cm="1">
        <f t="array" ref="K310">_xlfn.IFS(J310&lt;600,"520-599",J310&lt;650,"600-649",J310&lt;700,"650-699",J310&lt;750,"700-749",TRUE,"750+")</f>
        <v>520-599</v>
      </c>
      <c r="L310" t="str" cm="1">
        <f t="array" ref="L310">_xlfn.IFS(E310&lt;20,"1. Under 20",E310&lt;30,"2. 20-29",E310&lt;40,"3. 30-39",E310&lt;50,"4. 40-49",E310&lt;60,"5. 50-59",E310&lt;70,"6. 60-69",E310&lt;80,"7. 70-79",TRUE,"8. 80+")</f>
        <v>3. 30-39</v>
      </c>
      <c r="M310" t="str">
        <f t="shared" si="4"/>
        <v>2+ years</v>
      </c>
    </row>
    <row r="311" spans="1:13" x14ac:dyDescent="0.25">
      <c r="A311" t="s">
        <v>324</v>
      </c>
      <c r="B311" t="s">
        <v>15</v>
      </c>
      <c r="C311">
        <v>23500</v>
      </c>
      <c r="D311">
        <v>12.7</v>
      </c>
      <c r="E311">
        <v>71.2</v>
      </c>
      <c r="F311">
        <v>0</v>
      </c>
      <c r="G311" t="s">
        <v>7</v>
      </c>
      <c r="H311">
        <v>2</v>
      </c>
      <c r="I311">
        <v>31847</v>
      </c>
      <c r="J311">
        <v>599</v>
      </c>
      <c r="K311" t="str" cm="1">
        <f t="array" ref="K311">_xlfn.IFS(J311&lt;600,"520-599",J311&lt;650,"600-649",J311&lt;700,"650-699",J311&lt;750,"700-749",TRUE,"750+")</f>
        <v>520-599</v>
      </c>
      <c r="L311" t="str" cm="1">
        <f t="array" ref="L311">_xlfn.IFS(E311&lt;20,"1. Under 20",E311&lt;30,"2. 20-29",E311&lt;40,"3. 30-39",E311&lt;50,"4. 40-49",E311&lt;60,"5. 50-59",E311&lt;70,"6. 60-69",E311&lt;80,"7. 70-79",TRUE,"8. 80+")</f>
        <v>7. 70-79</v>
      </c>
      <c r="M311" t="str">
        <f t="shared" si="4"/>
        <v>2+ years</v>
      </c>
    </row>
    <row r="312" spans="1:13" x14ac:dyDescent="0.25">
      <c r="A312" t="s">
        <v>325</v>
      </c>
      <c r="B312" t="s">
        <v>26</v>
      </c>
      <c r="C312">
        <v>32700</v>
      </c>
      <c r="D312">
        <v>7.25</v>
      </c>
      <c r="E312">
        <v>85.7</v>
      </c>
      <c r="F312">
        <v>0</v>
      </c>
      <c r="G312" t="s">
        <v>29</v>
      </c>
      <c r="H312">
        <v>4</v>
      </c>
      <c r="I312">
        <v>51955</v>
      </c>
      <c r="J312">
        <v>783</v>
      </c>
      <c r="K312" t="str" cm="1">
        <f t="array" ref="K312">_xlfn.IFS(J312&lt;600,"520-599",J312&lt;650,"600-649",J312&lt;700,"650-699",J312&lt;750,"700-749",TRUE,"750+")</f>
        <v>750+</v>
      </c>
      <c r="L312" t="str" cm="1">
        <f t="array" ref="L312">_xlfn.IFS(E312&lt;20,"1. Under 20",E312&lt;30,"2. 20-29",E312&lt;40,"3. 30-39",E312&lt;50,"4. 40-49",E312&lt;60,"5. 50-59",E312&lt;70,"6. 60-69",E312&lt;80,"7. 70-79",TRUE,"8. 80+")</f>
        <v>8. 80+</v>
      </c>
      <c r="M312" t="str">
        <f t="shared" si="4"/>
        <v>2+ years</v>
      </c>
    </row>
    <row r="313" spans="1:13" x14ac:dyDescent="0.25">
      <c r="A313" t="s">
        <v>326</v>
      </c>
      <c r="B313" t="s">
        <v>13</v>
      </c>
      <c r="C313">
        <v>12200</v>
      </c>
      <c r="D313">
        <v>8.36</v>
      </c>
      <c r="E313">
        <v>26</v>
      </c>
      <c r="F313">
        <v>0</v>
      </c>
      <c r="G313" t="s">
        <v>29</v>
      </c>
      <c r="H313">
        <v>4</v>
      </c>
      <c r="I313">
        <v>51955</v>
      </c>
      <c r="J313">
        <v>783</v>
      </c>
      <c r="K313" t="str" cm="1">
        <f t="array" ref="K313">_xlfn.IFS(J313&lt;600,"520-599",J313&lt;650,"600-649",J313&lt;700,"650-699",J313&lt;750,"700-749",TRUE,"750+")</f>
        <v>750+</v>
      </c>
      <c r="L313" t="str" cm="1">
        <f t="array" ref="L313">_xlfn.IFS(E313&lt;20,"1. Under 20",E313&lt;30,"2. 20-29",E313&lt;40,"3. 30-39",E313&lt;50,"4. 40-49",E313&lt;60,"5. 50-59",E313&lt;70,"6. 60-69",E313&lt;80,"7. 70-79",TRUE,"8. 80+")</f>
        <v>2. 20-29</v>
      </c>
      <c r="M313" t="str">
        <f t="shared" si="4"/>
        <v>2+ years</v>
      </c>
    </row>
    <row r="314" spans="1:13" x14ac:dyDescent="0.25">
      <c r="A314" t="s">
        <v>327</v>
      </c>
      <c r="B314" t="s">
        <v>17</v>
      </c>
      <c r="C314">
        <v>35000</v>
      </c>
      <c r="D314">
        <v>12.84</v>
      </c>
      <c r="E314">
        <v>76.099999999999994</v>
      </c>
      <c r="F314">
        <v>0</v>
      </c>
      <c r="G314" t="s">
        <v>23</v>
      </c>
      <c r="H314">
        <v>14</v>
      </c>
      <c r="I314">
        <v>36601</v>
      </c>
      <c r="J314">
        <v>693</v>
      </c>
      <c r="K314" t="str" cm="1">
        <f t="array" ref="K314">_xlfn.IFS(J314&lt;600,"520-599",J314&lt;650,"600-649",J314&lt;700,"650-699",J314&lt;750,"700-749",TRUE,"750+")</f>
        <v>650-699</v>
      </c>
      <c r="L314" t="str" cm="1">
        <f t="array" ref="L314">_xlfn.IFS(E314&lt;20,"1. Under 20",E314&lt;30,"2. 20-29",E314&lt;40,"3. 30-39",E314&lt;50,"4. 40-49",E314&lt;60,"5. 50-59",E314&lt;70,"6. 60-69",E314&lt;80,"7. 70-79",TRUE,"8. 80+")</f>
        <v>7. 70-79</v>
      </c>
      <c r="M314" t="str">
        <f t="shared" si="4"/>
        <v>2+ years</v>
      </c>
    </row>
    <row r="315" spans="1:13" x14ac:dyDescent="0.25">
      <c r="A315" t="s">
        <v>328</v>
      </c>
      <c r="B315" t="s">
        <v>13</v>
      </c>
      <c r="C315">
        <v>49000</v>
      </c>
      <c r="D315">
        <v>10.83</v>
      </c>
      <c r="E315">
        <v>46.7</v>
      </c>
      <c r="F315">
        <v>0</v>
      </c>
      <c r="G315" t="s">
        <v>7</v>
      </c>
      <c r="H315">
        <v>30</v>
      </c>
      <c r="I315">
        <v>55744</v>
      </c>
      <c r="J315">
        <v>632</v>
      </c>
      <c r="K315" t="str" cm="1">
        <f t="array" ref="K315">_xlfn.IFS(J315&lt;600,"520-599",J315&lt;650,"600-649",J315&lt;700,"650-699",J315&lt;750,"700-749",TRUE,"750+")</f>
        <v>600-649</v>
      </c>
      <c r="L315" t="str" cm="1">
        <f t="array" ref="L315">_xlfn.IFS(E315&lt;20,"1. Under 20",E315&lt;30,"2. 20-29",E315&lt;40,"3. 30-39",E315&lt;50,"4. 40-49",E315&lt;60,"5. 50-59",E315&lt;70,"6. 60-69",E315&lt;80,"7. 70-79",TRUE,"8. 80+")</f>
        <v>4. 40-49</v>
      </c>
      <c r="M315" t="str">
        <f t="shared" si="4"/>
        <v>2+ years</v>
      </c>
    </row>
    <row r="316" spans="1:13" x14ac:dyDescent="0.25">
      <c r="A316" t="s">
        <v>329</v>
      </c>
      <c r="B316" t="s">
        <v>15</v>
      </c>
      <c r="C316">
        <v>2100</v>
      </c>
      <c r="D316">
        <v>8.42</v>
      </c>
      <c r="E316">
        <v>11.8</v>
      </c>
      <c r="F316">
        <v>0</v>
      </c>
      <c r="G316" t="s">
        <v>29</v>
      </c>
      <c r="H316">
        <v>24</v>
      </c>
      <c r="I316">
        <v>54293</v>
      </c>
      <c r="J316">
        <v>696</v>
      </c>
      <c r="K316" t="str" cm="1">
        <f t="array" ref="K316">_xlfn.IFS(J316&lt;600,"520-599",J316&lt;650,"600-649",J316&lt;700,"650-699",J316&lt;750,"700-749",TRUE,"750+")</f>
        <v>650-699</v>
      </c>
      <c r="L316" t="str" cm="1">
        <f t="array" ref="L316">_xlfn.IFS(E316&lt;20,"1. Under 20",E316&lt;30,"2. 20-29",E316&lt;40,"3. 30-39",E316&lt;50,"4. 40-49",E316&lt;60,"5. 50-59",E316&lt;70,"6. 60-69",E316&lt;80,"7. 70-79",TRUE,"8. 80+")</f>
        <v>1. Under 20</v>
      </c>
      <c r="M316" t="str">
        <f t="shared" si="4"/>
        <v>2+ years</v>
      </c>
    </row>
    <row r="317" spans="1:13" x14ac:dyDescent="0.25">
      <c r="A317" t="s">
        <v>330</v>
      </c>
      <c r="B317" t="s">
        <v>4</v>
      </c>
      <c r="C317">
        <v>13300</v>
      </c>
      <c r="D317">
        <v>9.34</v>
      </c>
      <c r="E317">
        <v>96.6</v>
      </c>
      <c r="F317">
        <v>0</v>
      </c>
      <c r="G317" t="s">
        <v>29</v>
      </c>
      <c r="H317">
        <v>1</v>
      </c>
      <c r="I317">
        <v>17239</v>
      </c>
      <c r="J317">
        <v>801</v>
      </c>
      <c r="K317" t="str" cm="1">
        <f t="array" ref="K317">_xlfn.IFS(J317&lt;600,"520-599",J317&lt;650,"600-649",J317&lt;700,"650-699",J317&lt;750,"700-749",TRUE,"750+")</f>
        <v>750+</v>
      </c>
      <c r="L317" t="str" cm="1">
        <f t="array" ref="L317">_xlfn.IFS(E317&lt;20,"1. Under 20",E317&lt;30,"2. 20-29",E317&lt;40,"3. 30-39",E317&lt;50,"4. 40-49",E317&lt;60,"5. 50-59",E317&lt;70,"6. 60-69",E317&lt;80,"7. 70-79",TRUE,"8. 80+")</f>
        <v>8. 80+</v>
      </c>
      <c r="M317" t="str">
        <f t="shared" si="4"/>
        <v>Under 2 years</v>
      </c>
    </row>
    <row r="318" spans="1:13" x14ac:dyDescent="0.25">
      <c r="A318" t="s">
        <v>331</v>
      </c>
      <c r="B318" t="s">
        <v>13</v>
      </c>
      <c r="C318">
        <v>42300</v>
      </c>
      <c r="D318">
        <v>7.97</v>
      </c>
      <c r="E318">
        <v>72.599999999999994</v>
      </c>
      <c r="F318">
        <v>0</v>
      </c>
      <c r="G318" t="s">
        <v>7</v>
      </c>
      <c r="H318">
        <v>15</v>
      </c>
      <c r="I318">
        <v>127340</v>
      </c>
      <c r="J318">
        <v>759</v>
      </c>
      <c r="K318" t="str" cm="1">
        <f t="array" ref="K318">_xlfn.IFS(J318&lt;600,"520-599",J318&lt;650,"600-649",J318&lt;700,"650-699",J318&lt;750,"700-749",TRUE,"750+")</f>
        <v>750+</v>
      </c>
      <c r="L318" t="str" cm="1">
        <f t="array" ref="L318">_xlfn.IFS(E318&lt;20,"1. Under 20",E318&lt;30,"2. 20-29",E318&lt;40,"3. 30-39",E318&lt;50,"4. 40-49",E318&lt;60,"5. 50-59",E318&lt;70,"6. 60-69",E318&lt;80,"7. 70-79",TRUE,"8. 80+")</f>
        <v>7. 70-79</v>
      </c>
      <c r="M318" t="str">
        <f t="shared" si="4"/>
        <v>2+ years</v>
      </c>
    </row>
    <row r="319" spans="1:13" x14ac:dyDescent="0.25">
      <c r="A319" t="s">
        <v>332</v>
      </c>
      <c r="B319" t="s">
        <v>21</v>
      </c>
      <c r="C319">
        <v>34700</v>
      </c>
      <c r="D319">
        <v>8.31</v>
      </c>
      <c r="E319">
        <v>48.2</v>
      </c>
      <c r="F319">
        <v>0</v>
      </c>
      <c r="G319" t="s">
        <v>7</v>
      </c>
      <c r="H319">
        <v>15</v>
      </c>
      <c r="I319">
        <v>127340</v>
      </c>
      <c r="J319">
        <v>759</v>
      </c>
      <c r="K319" t="str" cm="1">
        <f t="array" ref="K319">_xlfn.IFS(J319&lt;600,"520-599",J319&lt;650,"600-649",J319&lt;700,"650-699",J319&lt;750,"700-749",TRUE,"750+")</f>
        <v>750+</v>
      </c>
      <c r="L319" t="str" cm="1">
        <f t="array" ref="L319">_xlfn.IFS(E319&lt;20,"1. Under 20",E319&lt;30,"2. 20-29",E319&lt;40,"3. 30-39",E319&lt;50,"4. 40-49",E319&lt;60,"5. 50-59",E319&lt;70,"6. 60-69",E319&lt;80,"7. 70-79",TRUE,"8. 80+")</f>
        <v>4. 40-49</v>
      </c>
      <c r="M319" t="str">
        <f t="shared" si="4"/>
        <v>2+ years</v>
      </c>
    </row>
    <row r="320" spans="1:13" x14ac:dyDescent="0.25">
      <c r="A320" t="s">
        <v>333</v>
      </c>
      <c r="B320" t="s">
        <v>21</v>
      </c>
      <c r="C320">
        <v>40100</v>
      </c>
      <c r="D320">
        <v>7.03</v>
      </c>
      <c r="E320">
        <v>64.8</v>
      </c>
      <c r="F320">
        <v>0</v>
      </c>
      <c r="G320" t="s">
        <v>7</v>
      </c>
      <c r="H320">
        <v>30</v>
      </c>
      <c r="I320">
        <v>69250</v>
      </c>
      <c r="J320">
        <v>841</v>
      </c>
      <c r="K320" t="str" cm="1">
        <f t="array" ref="K320">_xlfn.IFS(J320&lt;600,"520-599",J320&lt;650,"600-649",J320&lt;700,"650-699",J320&lt;750,"700-749",TRUE,"750+")</f>
        <v>750+</v>
      </c>
      <c r="L320" t="str" cm="1">
        <f t="array" ref="L320">_xlfn.IFS(E320&lt;20,"1. Under 20",E320&lt;30,"2. 20-29",E320&lt;40,"3. 30-39",E320&lt;50,"4. 40-49",E320&lt;60,"5. 50-59",E320&lt;70,"6. 60-69",E320&lt;80,"7. 70-79",TRUE,"8. 80+")</f>
        <v>6. 60-69</v>
      </c>
      <c r="M320" t="str">
        <f t="shared" si="4"/>
        <v>2+ years</v>
      </c>
    </row>
    <row r="321" spans="1:13" x14ac:dyDescent="0.25">
      <c r="A321" t="s">
        <v>334</v>
      </c>
      <c r="B321" t="s">
        <v>9</v>
      </c>
      <c r="C321">
        <v>25700</v>
      </c>
      <c r="D321">
        <v>6.95</v>
      </c>
      <c r="E321">
        <v>59.8</v>
      </c>
      <c r="F321">
        <v>1</v>
      </c>
      <c r="G321" t="s">
        <v>7</v>
      </c>
      <c r="H321">
        <v>30</v>
      </c>
      <c r="I321">
        <v>69250</v>
      </c>
      <c r="J321">
        <v>841</v>
      </c>
      <c r="K321" t="str" cm="1">
        <f t="array" ref="K321">_xlfn.IFS(J321&lt;600,"520-599",J321&lt;650,"600-649",J321&lt;700,"650-699",J321&lt;750,"700-749",TRUE,"750+")</f>
        <v>750+</v>
      </c>
      <c r="L321" t="str" cm="1">
        <f t="array" ref="L321">_xlfn.IFS(E321&lt;20,"1. Under 20",E321&lt;30,"2. 20-29",E321&lt;40,"3. 30-39",E321&lt;50,"4. 40-49",E321&lt;60,"5. 50-59",E321&lt;70,"6. 60-69",E321&lt;80,"7. 70-79",TRUE,"8. 80+")</f>
        <v>5. 50-59</v>
      </c>
      <c r="M321" t="str">
        <f t="shared" si="4"/>
        <v>2+ years</v>
      </c>
    </row>
    <row r="322" spans="1:13" x14ac:dyDescent="0.25">
      <c r="A322" t="s">
        <v>335</v>
      </c>
      <c r="B322" t="s">
        <v>15</v>
      </c>
      <c r="C322">
        <v>29400</v>
      </c>
      <c r="D322">
        <v>10.76</v>
      </c>
      <c r="E322">
        <v>38.799999999999997</v>
      </c>
      <c r="F322">
        <v>0</v>
      </c>
      <c r="G322" t="s">
        <v>7</v>
      </c>
      <c r="H322">
        <v>5</v>
      </c>
      <c r="I322">
        <v>102385</v>
      </c>
      <c r="J322">
        <v>819</v>
      </c>
      <c r="K322" t="str" cm="1">
        <f t="array" ref="K322">_xlfn.IFS(J322&lt;600,"520-599",J322&lt;650,"600-649",J322&lt;700,"650-699",J322&lt;750,"700-749",TRUE,"750+")</f>
        <v>750+</v>
      </c>
      <c r="L322" t="str" cm="1">
        <f t="array" ref="L322">_xlfn.IFS(E322&lt;20,"1. Under 20",E322&lt;30,"2. 20-29",E322&lt;40,"3. 30-39",E322&lt;50,"4. 40-49",E322&lt;60,"5. 50-59",E322&lt;70,"6. 60-69",E322&lt;80,"7. 70-79",TRUE,"8. 80+")</f>
        <v>3. 30-39</v>
      </c>
      <c r="M322" t="str">
        <f t="shared" si="4"/>
        <v>2+ years</v>
      </c>
    </row>
    <row r="323" spans="1:13" x14ac:dyDescent="0.25">
      <c r="A323" t="s">
        <v>336</v>
      </c>
      <c r="B323" t="s">
        <v>6</v>
      </c>
      <c r="C323">
        <v>32400</v>
      </c>
      <c r="D323">
        <v>7.78</v>
      </c>
      <c r="E323">
        <v>30.9</v>
      </c>
      <c r="F323">
        <v>0</v>
      </c>
      <c r="G323" t="s">
        <v>23</v>
      </c>
      <c r="H323">
        <v>21</v>
      </c>
      <c r="I323">
        <v>44963</v>
      </c>
      <c r="J323">
        <v>734</v>
      </c>
      <c r="K323" t="str" cm="1">
        <f t="array" ref="K323">_xlfn.IFS(J323&lt;600,"520-599",J323&lt;650,"600-649",J323&lt;700,"650-699",J323&lt;750,"700-749",TRUE,"750+")</f>
        <v>700-749</v>
      </c>
      <c r="L323" t="str" cm="1">
        <f t="array" ref="L323">_xlfn.IFS(E323&lt;20,"1. Under 20",E323&lt;30,"2. 20-29",E323&lt;40,"3. 30-39",E323&lt;50,"4. 40-49",E323&lt;60,"5. 50-59",E323&lt;70,"6. 60-69",E323&lt;80,"7. 70-79",TRUE,"8. 80+")</f>
        <v>3. 30-39</v>
      </c>
      <c r="M323" t="str">
        <f t="shared" ref="M323:M386" si="5">IF(H323&lt;2,"Under 2 years","2+ years")</f>
        <v>2+ years</v>
      </c>
    </row>
    <row r="324" spans="1:13" x14ac:dyDescent="0.25">
      <c r="A324" t="s">
        <v>337</v>
      </c>
      <c r="B324" t="s">
        <v>4</v>
      </c>
      <c r="C324">
        <v>21500</v>
      </c>
      <c r="D324">
        <v>9.58</v>
      </c>
      <c r="E324">
        <v>68.099999999999994</v>
      </c>
      <c r="F324">
        <v>0</v>
      </c>
      <c r="G324" t="s">
        <v>7</v>
      </c>
      <c r="H324">
        <v>7</v>
      </c>
      <c r="I324">
        <v>77637</v>
      </c>
      <c r="J324">
        <v>829</v>
      </c>
      <c r="K324" t="str" cm="1">
        <f t="array" ref="K324">_xlfn.IFS(J324&lt;600,"520-599",J324&lt;650,"600-649",J324&lt;700,"650-699",J324&lt;750,"700-749",TRUE,"750+")</f>
        <v>750+</v>
      </c>
      <c r="L324" t="str" cm="1">
        <f t="array" ref="L324">_xlfn.IFS(E324&lt;20,"1. Under 20",E324&lt;30,"2. 20-29",E324&lt;40,"3. 30-39",E324&lt;50,"4. 40-49",E324&lt;60,"5. 50-59",E324&lt;70,"6. 60-69",E324&lt;80,"7. 70-79",TRUE,"8. 80+")</f>
        <v>6. 60-69</v>
      </c>
      <c r="M324" t="str">
        <f t="shared" si="5"/>
        <v>2+ years</v>
      </c>
    </row>
    <row r="325" spans="1:13" x14ac:dyDescent="0.25">
      <c r="A325" t="s">
        <v>338</v>
      </c>
      <c r="B325" t="s">
        <v>19</v>
      </c>
      <c r="C325">
        <v>25600</v>
      </c>
      <c r="D325">
        <v>8.43</v>
      </c>
      <c r="E325">
        <v>47.1</v>
      </c>
      <c r="F325">
        <v>0</v>
      </c>
      <c r="G325" t="s">
        <v>7</v>
      </c>
      <c r="H325">
        <v>7</v>
      </c>
      <c r="I325">
        <v>77637</v>
      </c>
      <c r="J325">
        <v>829</v>
      </c>
      <c r="K325" t="str" cm="1">
        <f t="array" ref="K325">_xlfn.IFS(J325&lt;600,"520-599",J325&lt;650,"600-649",J325&lt;700,"650-699",J325&lt;750,"700-749",TRUE,"750+")</f>
        <v>750+</v>
      </c>
      <c r="L325" t="str" cm="1">
        <f t="array" ref="L325">_xlfn.IFS(E325&lt;20,"1. Under 20",E325&lt;30,"2. 20-29",E325&lt;40,"3. 30-39",E325&lt;50,"4. 40-49",E325&lt;60,"5. 50-59",E325&lt;70,"6. 60-69",E325&lt;80,"7. 70-79",TRUE,"8. 80+")</f>
        <v>4. 40-49</v>
      </c>
      <c r="M325" t="str">
        <f t="shared" si="5"/>
        <v>2+ years</v>
      </c>
    </row>
    <row r="326" spans="1:13" x14ac:dyDescent="0.25">
      <c r="A326" t="s">
        <v>339</v>
      </c>
      <c r="B326" t="s">
        <v>19</v>
      </c>
      <c r="C326">
        <v>22300</v>
      </c>
      <c r="D326">
        <v>14.87</v>
      </c>
      <c r="E326">
        <v>109.3</v>
      </c>
      <c r="F326">
        <v>1</v>
      </c>
      <c r="G326" t="s">
        <v>7</v>
      </c>
      <c r="H326">
        <v>18</v>
      </c>
      <c r="I326">
        <v>42167</v>
      </c>
      <c r="J326">
        <v>583</v>
      </c>
      <c r="K326" t="str" cm="1">
        <f t="array" ref="K326">_xlfn.IFS(J326&lt;600,"520-599",J326&lt;650,"600-649",J326&lt;700,"650-699",J326&lt;750,"700-749",TRUE,"750+")</f>
        <v>520-599</v>
      </c>
      <c r="L326" t="str" cm="1">
        <f t="array" ref="L326">_xlfn.IFS(E326&lt;20,"1. Under 20",E326&lt;30,"2. 20-29",E326&lt;40,"3. 30-39",E326&lt;50,"4. 40-49",E326&lt;60,"5. 50-59",E326&lt;70,"6. 60-69",E326&lt;80,"7. 70-79",TRUE,"8. 80+")</f>
        <v>8. 80+</v>
      </c>
      <c r="M326" t="str">
        <f t="shared" si="5"/>
        <v>2+ years</v>
      </c>
    </row>
    <row r="327" spans="1:13" x14ac:dyDescent="0.25">
      <c r="A327" t="s">
        <v>340</v>
      </c>
      <c r="B327" t="s">
        <v>17</v>
      </c>
      <c r="C327">
        <v>6100</v>
      </c>
      <c r="D327">
        <v>12.44</v>
      </c>
      <c r="E327">
        <v>56.6</v>
      </c>
      <c r="F327">
        <v>0</v>
      </c>
      <c r="G327" t="s">
        <v>7</v>
      </c>
      <c r="H327">
        <v>18</v>
      </c>
      <c r="I327">
        <v>42167</v>
      </c>
      <c r="J327">
        <v>583</v>
      </c>
      <c r="K327" t="str" cm="1">
        <f t="array" ref="K327">_xlfn.IFS(J327&lt;600,"520-599",J327&lt;650,"600-649",J327&lt;700,"650-699",J327&lt;750,"700-749",TRUE,"750+")</f>
        <v>520-599</v>
      </c>
      <c r="L327" t="str" cm="1">
        <f t="array" ref="L327">_xlfn.IFS(E327&lt;20,"1. Under 20",E327&lt;30,"2. 20-29",E327&lt;40,"3. 30-39",E327&lt;50,"4. 40-49",E327&lt;60,"5. 50-59",E327&lt;70,"6. 60-69",E327&lt;80,"7. 70-79",TRUE,"8. 80+")</f>
        <v>5. 50-59</v>
      </c>
      <c r="M327" t="str">
        <f t="shared" si="5"/>
        <v>2+ years</v>
      </c>
    </row>
    <row r="328" spans="1:13" x14ac:dyDescent="0.25">
      <c r="A328" t="s">
        <v>341</v>
      </c>
      <c r="B328" t="s">
        <v>17</v>
      </c>
      <c r="C328">
        <v>48000</v>
      </c>
      <c r="D328">
        <v>10.76</v>
      </c>
      <c r="E328">
        <v>117.3</v>
      </c>
      <c r="F328">
        <v>0</v>
      </c>
      <c r="G328" t="s">
        <v>7</v>
      </c>
      <c r="H328">
        <v>7</v>
      </c>
      <c r="I328">
        <v>65633</v>
      </c>
      <c r="J328">
        <v>801</v>
      </c>
      <c r="K328" t="str" cm="1">
        <f t="array" ref="K328">_xlfn.IFS(J328&lt;600,"520-599",J328&lt;650,"600-649",J328&lt;700,"650-699",J328&lt;750,"700-749",TRUE,"750+")</f>
        <v>750+</v>
      </c>
      <c r="L328" t="str" cm="1">
        <f t="array" ref="L328">_xlfn.IFS(E328&lt;20,"1. Under 20",E328&lt;30,"2. 20-29",E328&lt;40,"3. 30-39",E328&lt;50,"4. 40-49",E328&lt;60,"5. 50-59",E328&lt;70,"6. 60-69",E328&lt;80,"7. 70-79",TRUE,"8. 80+")</f>
        <v>8. 80+</v>
      </c>
      <c r="M328" t="str">
        <f t="shared" si="5"/>
        <v>2+ years</v>
      </c>
    </row>
    <row r="329" spans="1:13" x14ac:dyDescent="0.25">
      <c r="A329" t="s">
        <v>342</v>
      </c>
      <c r="B329" t="s">
        <v>17</v>
      </c>
      <c r="C329">
        <v>29700</v>
      </c>
      <c r="D329">
        <v>15.86</v>
      </c>
      <c r="E329">
        <v>119.6</v>
      </c>
      <c r="F329">
        <v>1</v>
      </c>
      <c r="G329" t="s">
        <v>7</v>
      </c>
      <c r="H329">
        <v>10</v>
      </c>
      <c r="I329">
        <v>47419</v>
      </c>
      <c r="J329">
        <v>541</v>
      </c>
      <c r="K329" t="str" cm="1">
        <f t="array" ref="K329">_xlfn.IFS(J329&lt;600,"520-599",J329&lt;650,"600-649",J329&lt;700,"650-699",J329&lt;750,"700-749",TRUE,"750+")</f>
        <v>520-599</v>
      </c>
      <c r="L329" t="str" cm="1">
        <f t="array" ref="L329">_xlfn.IFS(E329&lt;20,"1. Under 20",E329&lt;30,"2. 20-29",E329&lt;40,"3. 30-39",E329&lt;50,"4. 40-49",E329&lt;60,"5. 50-59",E329&lt;70,"6. 60-69",E329&lt;80,"7. 70-79",TRUE,"8. 80+")</f>
        <v>8. 80+</v>
      </c>
      <c r="M329" t="str">
        <f t="shared" si="5"/>
        <v>2+ years</v>
      </c>
    </row>
    <row r="330" spans="1:13" x14ac:dyDescent="0.25">
      <c r="A330" t="s">
        <v>343</v>
      </c>
      <c r="B330" t="s">
        <v>21</v>
      </c>
      <c r="C330">
        <v>22200</v>
      </c>
      <c r="D330">
        <v>10.67</v>
      </c>
      <c r="E330">
        <v>39.9</v>
      </c>
      <c r="F330">
        <v>1</v>
      </c>
      <c r="G330" t="s">
        <v>23</v>
      </c>
      <c r="H330">
        <v>14</v>
      </c>
      <c r="I330">
        <v>33944</v>
      </c>
      <c r="J330">
        <v>743</v>
      </c>
      <c r="K330" t="str" cm="1">
        <f t="array" ref="K330">_xlfn.IFS(J330&lt;600,"520-599",J330&lt;650,"600-649",J330&lt;700,"650-699",J330&lt;750,"700-749",TRUE,"750+")</f>
        <v>700-749</v>
      </c>
      <c r="L330" t="str" cm="1">
        <f t="array" ref="L330">_xlfn.IFS(E330&lt;20,"1. Under 20",E330&lt;30,"2. 20-29",E330&lt;40,"3. 30-39",E330&lt;50,"4. 40-49",E330&lt;60,"5. 50-59",E330&lt;70,"6. 60-69",E330&lt;80,"7. 70-79",TRUE,"8. 80+")</f>
        <v>3. 30-39</v>
      </c>
      <c r="M330" t="str">
        <f t="shared" si="5"/>
        <v>2+ years</v>
      </c>
    </row>
    <row r="331" spans="1:13" x14ac:dyDescent="0.25">
      <c r="A331" t="s">
        <v>344</v>
      </c>
      <c r="B331" t="s">
        <v>9</v>
      </c>
      <c r="C331">
        <v>21300</v>
      </c>
      <c r="D331">
        <v>13.16</v>
      </c>
      <c r="E331">
        <v>23</v>
      </c>
      <c r="F331">
        <v>0</v>
      </c>
      <c r="G331" t="s">
        <v>7</v>
      </c>
      <c r="H331">
        <v>28</v>
      </c>
      <c r="I331">
        <v>79780</v>
      </c>
      <c r="J331">
        <v>636</v>
      </c>
      <c r="K331" t="str" cm="1">
        <f t="array" ref="K331">_xlfn.IFS(J331&lt;600,"520-599",J331&lt;650,"600-649",J331&lt;700,"650-699",J331&lt;750,"700-749",TRUE,"750+")</f>
        <v>600-649</v>
      </c>
      <c r="L331" t="str" cm="1">
        <f t="array" ref="L331">_xlfn.IFS(E331&lt;20,"1. Under 20",E331&lt;30,"2. 20-29",E331&lt;40,"3. 30-39",E331&lt;50,"4. 40-49",E331&lt;60,"5. 50-59",E331&lt;70,"6. 60-69",E331&lt;80,"7. 70-79",TRUE,"8. 80+")</f>
        <v>2. 20-29</v>
      </c>
      <c r="M331" t="str">
        <f t="shared" si="5"/>
        <v>2+ years</v>
      </c>
    </row>
    <row r="332" spans="1:13" x14ac:dyDescent="0.25">
      <c r="A332" t="s">
        <v>345</v>
      </c>
      <c r="B332" t="s">
        <v>1</v>
      </c>
      <c r="C332">
        <v>44200</v>
      </c>
      <c r="D332">
        <v>10.81</v>
      </c>
      <c r="E332">
        <v>29.8</v>
      </c>
      <c r="F332">
        <v>0</v>
      </c>
      <c r="G332" t="s">
        <v>10</v>
      </c>
      <c r="H332">
        <v>17</v>
      </c>
      <c r="I332">
        <v>59967</v>
      </c>
      <c r="J332">
        <v>582</v>
      </c>
      <c r="K332" t="str" cm="1">
        <f t="array" ref="K332">_xlfn.IFS(J332&lt;600,"520-599",J332&lt;650,"600-649",J332&lt;700,"650-699",J332&lt;750,"700-749",TRUE,"750+")</f>
        <v>520-599</v>
      </c>
      <c r="L332" t="str" cm="1">
        <f t="array" ref="L332">_xlfn.IFS(E332&lt;20,"1. Under 20",E332&lt;30,"2. 20-29",E332&lt;40,"3. 30-39",E332&lt;50,"4. 40-49",E332&lt;60,"5. 50-59",E332&lt;70,"6. 60-69",E332&lt;80,"7. 70-79",TRUE,"8. 80+")</f>
        <v>2. 20-29</v>
      </c>
      <c r="M332" t="str">
        <f t="shared" si="5"/>
        <v>2+ years</v>
      </c>
    </row>
    <row r="333" spans="1:13" x14ac:dyDescent="0.25">
      <c r="A333" t="s">
        <v>346</v>
      </c>
      <c r="B333" t="s">
        <v>26</v>
      </c>
      <c r="C333">
        <v>30500</v>
      </c>
      <c r="D333">
        <v>10.36</v>
      </c>
      <c r="E333">
        <v>38.1</v>
      </c>
      <c r="F333">
        <v>0</v>
      </c>
      <c r="G333" t="s">
        <v>7</v>
      </c>
      <c r="H333">
        <v>24</v>
      </c>
      <c r="I333">
        <v>109435</v>
      </c>
      <c r="J333">
        <v>850</v>
      </c>
      <c r="K333" t="str" cm="1">
        <f t="array" ref="K333">_xlfn.IFS(J333&lt;600,"520-599",J333&lt;650,"600-649",J333&lt;700,"650-699",J333&lt;750,"700-749",TRUE,"750+")</f>
        <v>750+</v>
      </c>
      <c r="L333" t="str" cm="1">
        <f t="array" ref="L333">_xlfn.IFS(E333&lt;20,"1. Under 20",E333&lt;30,"2. 20-29",E333&lt;40,"3. 30-39",E333&lt;50,"4. 40-49",E333&lt;60,"5. 50-59",E333&lt;70,"6. 60-69",E333&lt;80,"7. 70-79",TRUE,"8. 80+")</f>
        <v>3. 30-39</v>
      </c>
      <c r="M333" t="str">
        <f t="shared" si="5"/>
        <v>2+ years</v>
      </c>
    </row>
    <row r="334" spans="1:13" x14ac:dyDescent="0.25">
      <c r="A334" t="s">
        <v>347</v>
      </c>
      <c r="B334" t="s">
        <v>1</v>
      </c>
      <c r="C334">
        <v>7900</v>
      </c>
      <c r="D334">
        <v>8.77</v>
      </c>
      <c r="E334">
        <v>29.9</v>
      </c>
      <c r="F334">
        <v>0</v>
      </c>
      <c r="G334" t="s">
        <v>10</v>
      </c>
      <c r="H334">
        <v>5</v>
      </c>
      <c r="I334">
        <v>85642</v>
      </c>
      <c r="J334">
        <v>692</v>
      </c>
      <c r="K334" t="str" cm="1">
        <f t="array" ref="K334">_xlfn.IFS(J334&lt;600,"520-599",J334&lt;650,"600-649",J334&lt;700,"650-699",J334&lt;750,"700-749",TRUE,"750+")</f>
        <v>650-699</v>
      </c>
      <c r="L334" t="str" cm="1">
        <f t="array" ref="L334">_xlfn.IFS(E334&lt;20,"1. Under 20",E334&lt;30,"2. 20-29",E334&lt;40,"3. 30-39",E334&lt;50,"4. 40-49",E334&lt;60,"5. 50-59",E334&lt;70,"6. 60-69",E334&lt;80,"7. 70-79",TRUE,"8. 80+")</f>
        <v>2. 20-29</v>
      </c>
      <c r="M334" t="str">
        <f t="shared" si="5"/>
        <v>2+ years</v>
      </c>
    </row>
    <row r="335" spans="1:13" x14ac:dyDescent="0.25">
      <c r="A335" t="s">
        <v>348</v>
      </c>
      <c r="B335" t="s">
        <v>26</v>
      </c>
      <c r="C335">
        <v>39200</v>
      </c>
      <c r="D335">
        <v>8.35</v>
      </c>
      <c r="E335">
        <v>69.400000000000006</v>
      </c>
      <c r="F335">
        <v>0</v>
      </c>
      <c r="G335" t="s">
        <v>7</v>
      </c>
      <c r="H335">
        <v>2</v>
      </c>
      <c r="I335">
        <v>65383</v>
      </c>
      <c r="J335">
        <v>840</v>
      </c>
      <c r="K335" t="str" cm="1">
        <f t="array" ref="K335">_xlfn.IFS(J335&lt;600,"520-599",J335&lt;650,"600-649",J335&lt;700,"650-699",J335&lt;750,"700-749",TRUE,"750+")</f>
        <v>750+</v>
      </c>
      <c r="L335" t="str" cm="1">
        <f t="array" ref="L335">_xlfn.IFS(E335&lt;20,"1. Under 20",E335&lt;30,"2. 20-29",E335&lt;40,"3. 30-39",E335&lt;50,"4. 40-49",E335&lt;60,"5. 50-59",E335&lt;70,"6. 60-69",E335&lt;80,"7. 70-79",TRUE,"8. 80+")</f>
        <v>6. 60-69</v>
      </c>
      <c r="M335" t="str">
        <f t="shared" si="5"/>
        <v>2+ years</v>
      </c>
    </row>
    <row r="336" spans="1:13" x14ac:dyDescent="0.25">
      <c r="A336" t="s">
        <v>349</v>
      </c>
      <c r="B336" t="s">
        <v>15</v>
      </c>
      <c r="C336">
        <v>8800</v>
      </c>
      <c r="D336">
        <v>14.04</v>
      </c>
      <c r="E336">
        <v>33.4</v>
      </c>
      <c r="F336">
        <v>0</v>
      </c>
      <c r="G336" t="s">
        <v>29</v>
      </c>
      <c r="H336">
        <v>31</v>
      </c>
      <c r="I336">
        <v>41677</v>
      </c>
      <c r="J336">
        <v>615</v>
      </c>
      <c r="K336" t="str" cm="1">
        <f t="array" ref="K336">_xlfn.IFS(J336&lt;600,"520-599",J336&lt;650,"600-649",J336&lt;700,"650-699",J336&lt;750,"700-749",TRUE,"750+")</f>
        <v>600-649</v>
      </c>
      <c r="L336" t="str" cm="1">
        <f t="array" ref="L336">_xlfn.IFS(E336&lt;20,"1. Under 20",E336&lt;30,"2. 20-29",E336&lt;40,"3. 30-39",E336&lt;50,"4. 40-49",E336&lt;60,"5. 50-59",E336&lt;70,"6. 60-69",E336&lt;80,"7. 70-79",TRUE,"8. 80+")</f>
        <v>3. 30-39</v>
      </c>
      <c r="M336" t="str">
        <f t="shared" si="5"/>
        <v>2+ years</v>
      </c>
    </row>
    <row r="337" spans="1:13" x14ac:dyDescent="0.25">
      <c r="A337" t="s">
        <v>350</v>
      </c>
      <c r="B337" t="s">
        <v>17</v>
      </c>
      <c r="C337">
        <v>28000</v>
      </c>
      <c r="D337">
        <v>12.52</v>
      </c>
      <c r="E337">
        <v>40.9</v>
      </c>
      <c r="F337">
        <v>0</v>
      </c>
      <c r="G337" t="s">
        <v>29</v>
      </c>
      <c r="H337">
        <v>3</v>
      </c>
      <c r="I337">
        <v>57707</v>
      </c>
      <c r="J337">
        <v>629</v>
      </c>
      <c r="K337" t="str" cm="1">
        <f t="array" ref="K337">_xlfn.IFS(J337&lt;600,"520-599",J337&lt;650,"600-649",J337&lt;700,"650-699",J337&lt;750,"700-749",TRUE,"750+")</f>
        <v>600-649</v>
      </c>
      <c r="L337" t="str" cm="1">
        <f t="array" ref="L337">_xlfn.IFS(E337&lt;20,"1. Under 20",E337&lt;30,"2. 20-29",E337&lt;40,"3. 30-39",E337&lt;50,"4. 40-49",E337&lt;60,"5. 50-59",E337&lt;70,"6. 60-69",E337&lt;80,"7. 70-79",TRUE,"8. 80+")</f>
        <v>4. 40-49</v>
      </c>
      <c r="M337" t="str">
        <f t="shared" si="5"/>
        <v>2+ years</v>
      </c>
    </row>
    <row r="338" spans="1:13" x14ac:dyDescent="0.25">
      <c r="A338" t="s">
        <v>351</v>
      </c>
      <c r="B338" t="s">
        <v>13</v>
      </c>
      <c r="C338">
        <v>17200</v>
      </c>
      <c r="D338">
        <v>12.86</v>
      </c>
      <c r="E338">
        <v>44.4</v>
      </c>
      <c r="F338">
        <v>0</v>
      </c>
      <c r="G338" t="s">
        <v>10</v>
      </c>
      <c r="H338">
        <v>1</v>
      </c>
      <c r="I338">
        <v>71779</v>
      </c>
      <c r="J338">
        <v>577</v>
      </c>
      <c r="K338" t="str" cm="1">
        <f t="array" ref="K338">_xlfn.IFS(J338&lt;600,"520-599",J338&lt;650,"600-649",J338&lt;700,"650-699",J338&lt;750,"700-749",TRUE,"750+")</f>
        <v>520-599</v>
      </c>
      <c r="L338" t="str" cm="1">
        <f t="array" ref="L338">_xlfn.IFS(E338&lt;20,"1. Under 20",E338&lt;30,"2. 20-29",E338&lt;40,"3. 30-39",E338&lt;50,"4. 40-49",E338&lt;60,"5. 50-59",E338&lt;70,"6. 60-69",E338&lt;80,"7. 70-79",TRUE,"8. 80+")</f>
        <v>4. 40-49</v>
      </c>
      <c r="M338" t="str">
        <f t="shared" si="5"/>
        <v>Under 2 years</v>
      </c>
    </row>
    <row r="339" spans="1:13" x14ac:dyDescent="0.25">
      <c r="A339" t="s">
        <v>352</v>
      </c>
      <c r="B339" t="s">
        <v>1</v>
      </c>
      <c r="C339">
        <v>47700</v>
      </c>
      <c r="D339">
        <v>10.99</v>
      </c>
      <c r="E339">
        <v>77.5</v>
      </c>
      <c r="F339">
        <v>0</v>
      </c>
      <c r="G339" t="s">
        <v>2</v>
      </c>
      <c r="H339">
        <v>35</v>
      </c>
      <c r="I339">
        <v>55533</v>
      </c>
      <c r="J339">
        <v>783</v>
      </c>
      <c r="K339" t="str" cm="1">
        <f t="array" ref="K339">_xlfn.IFS(J339&lt;600,"520-599",J339&lt;650,"600-649",J339&lt;700,"650-699",J339&lt;750,"700-749",TRUE,"750+")</f>
        <v>750+</v>
      </c>
      <c r="L339" t="str" cm="1">
        <f t="array" ref="L339">_xlfn.IFS(E339&lt;20,"1. Under 20",E339&lt;30,"2. 20-29",E339&lt;40,"3. 30-39",E339&lt;50,"4. 40-49",E339&lt;60,"5. 50-59",E339&lt;70,"6. 60-69",E339&lt;80,"7. 70-79",TRUE,"8. 80+")</f>
        <v>7. 70-79</v>
      </c>
      <c r="M339" t="str">
        <f t="shared" si="5"/>
        <v>2+ years</v>
      </c>
    </row>
    <row r="340" spans="1:13" x14ac:dyDescent="0.25">
      <c r="A340" t="s">
        <v>353</v>
      </c>
      <c r="B340" t="s">
        <v>17</v>
      </c>
      <c r="C340">
        <v>28600</v>
      </c>
      <c r="D340">
        <v>8.6999999999999993</v>
      </c>
      <c r="E340">
        <v>64</v>
      </c>
      <c r="F340">
        <v>0</v>
      </c>
      <c r="G340" t="s">
        <v>2</v>
      </c>
      <c r="H340">
        <v>17</v>
      </c>
      <c r="I340">
        <v>89088</v>
      </c>
      <c r="J340">
        <v>765</v>
      </c>
      <c r="K340" t="str" cm="1">
        <f t="array" ref="K340">_xlfn.IFS(J340&lt;600,"520-599",J340&lt;650,"600-649",J340&lt;700,"650-699",J340&lt;750,"700-749",TRUE,"750+")</f>
        <v>750+</v>
      </c>
      <c r="L340" t="str" cm="1">
        <f t="array" ref="L340">_xlfn.IFS(E340&lt;20,"1. Under 20",E340&lt;30,"2. 20-29",E340&lt;40,"3. 30-39",E340&lt;50,"4. 40-49",E340&lt;60,"5. 50-59",E340&lt;70,"6. 60-69",E340&lt;80,"7. 70-79",TRUE,"8. 80+")</f>
        <v>6. 60-69</v>
      </c>
      <c r="M340" t="str">
        <f t="shared" si="5"/>
        <v>2+ years</v>
      </c>
    </row>
    <row r="341" spans="1:13" x14ac:dyDescent="0.25">
      <c r="A341" t="s">
        <v>354</v>
      </c>
      <c r="B341" t="s">
        <v>19</v>
      </c>
      <c r="C341">
        <v>4500</v>
      </c>
      <c r="D341">
        <v>11.88</v>
      </c>
      <c r="E341">
        <v>22.8</v>
      </c>
      <c r="F341">
        <v>0</v>
      </c>
      <c r="G341" t="s">
        <v>29</v>
      </c>
      <c r="H341">
        <v>2</v>
      </c>
      <c r="I341">
        <v>30106</v>
      </c>
      <c r="J341">
        <v>703</v>
      </c>
      <c r="K341" t="str" cm="1">
        <f t="array" ref="K341">_xlfn.IFS(J341&lt;600,"520-599",J341&lt;650,"600-649",J341&lt;700,"650-699",J341&lt;750,"700-749",TRUE,"750+")</f>
        <v>700-749</v>
      </c>
      <c r="L341" t="str" cm="1">
        <f t="array" ref="L341">_xlfn.IFS(E341&lt;20,"1. Under 20",E341&lt;30,"2. 20-29",E341&lt;40,"3. 30-39",E341&lt;50,"4. 40-49",E341&lt;60,"5. 50-59",E341&lt;70,"6. 60-69",E341&lt;80,"7. 70-79",TRUE,"8. 80+")</f>
        <v>2. 20-29</v>
      </c>
      <c r="M341" t="str">
        <f t="shared" si="5"/>
        <v>2+ years</v>
      </c>
    </row>
    <row r="342" spans="1:13" x14ac:dyDescent="0.25">
      <c r="A342" t="s">
        <v>355</v>
      </c>
      <c r="B342" t="s">
        <v>15</v>
      </c>
      <c r="C342">
        <v>36100</v>
      </c>
      <c r="D342">
        <v>12.44</v>
      </c>
      <c r="E342">
        <v>145</v>
      </c>
      <c r="F342">
        <v>0</v>
      </c>
      <c r="G342" t="s">
        <v>29</v>
      </c>
      <c r="H342">
        <v>2</v>
      </c>
      <c r="I342">
        <v>30106</v>
      </c>
      <c r="J342">
        <v>703</v>
      </c>
      <c r="K342" t="str" cm="1">
        <f t="array" ref="K342">_xlfn.IFS(J342&lt;600,"520-599",J342&lt;650,"600-649",J342&lt;700,"650-699",J342&lt;750,"700-749",TRUE,"750+")</f>
        <v>700-749</v>
      </c>
      <c r="L342" t="str" cm="1">
        <f t="array" ref="L342">_xlfn.IFS(E342&lt;20,"1. Under 20",E342&lt;30,"2. 20-29",E342&lt;40,"3. 30-39",E342&lt;50,"4. 40-49",E342&lt;60,"5. 50-59",E342&lt;70,"6. 60-69",E342&lt;80,"7. 70-79",TRUE,"8. 80+")</f>
        <v>8. 80+</v>
      </c>
      <c r="M342" t="str">
        <f t="shared" si="5"/>
        <v>2+ years</v>
      </c>
    </row>
    <row r="343" spans="1:13" x14ac:dyDescent="0.25">
      <c r="A343" t="s">
        <v>356</v>
      </c>
      <c r="B343" t="s">
        <v>9</v>
      </c>
      <c r="C343">
        <v>19700</v>
      </c>
      <c r="D343">
        <v>10.74</v>
      </c>
      <c r="E343">
        <v>25</v>
      </c>
      <c r="F343">
        <v>0</v>
      </c>
      <c r="G343" t="s">
        <v>10</v>
      </c>
      <c r="H343">
        <v>10</v>
      </c>
      <c r="I343">
        <v>79534</v>
      </c>
      <c r="J343">
        <v>754</v>
      </c>
      <c r="K343" t="str" cm="1">
        <f t="array" ref="K343">_xlfn.IFS(J343&lt;600,"520-599",J343&lt;650,"600-649",J343&lt;700,"650-699",J343&lt;750,"700-749",TRUE,"750+")</f>
        <v>750+</v>
      </c>
      <c r="L343" t="str" cm="1">
        <f t="array" ref="L343">_xlfn.IFS(E343&lt;20,"1. Under 20",E343&lt;30,"2. 20-29",E343&lt;40,"3. 30-39",E343&lt;50,"4. 40-49",E343&lt;60,"5. 50-59",E343&lt;70,"6. 60-69",E343&lt;80,"7. 70-79",TRUE,"8. 80+")</f>
        <v>2. 20-29</v>
      </c>
      <c r="M343" t="str">
        <f t="shared" si="5"/>
        <v>2+ years</v>
      </c>
    </row>
    <row r="344" spans="1:13" x14ac:dyDescent="0.25">
      <c r="A344" t="s">
        <v>357</v>
      </c>
      <c r="B344" t="s">
        <v>17</v>
      </c>
      <c r="C344">
        <v>31300</v>
      </c>
      <c r="D344">
        <v>11.41</v>
      </c>
      <c r="E344">
        <v>37.4</v>
      </c>
      <c r="F344">
        <v>0</v>
      </c>
      <c r="G344" t="s">
        <v>10</v>
      </c>
      <c r="H344">
        <v>10</v>
      </c>
      <c r="I344">
        <v>79534</v>
      </c>
      <c r="J344">
        <v>754</v>
      </c>
      <c r="K344" t="str" cm="1">
        <f t="array" ref="K344">_xlfn.IFS(J344&lt;600,"520-599",J344&lt;650,"600-649",J344&lt;700,"650-699",J344&lt;750,"700-749",TRUE,"750+")</f>
        <v>750+</v>
      </c>
      <c r="L344" t="str" cm="1">
        <f t="array" ref="L344">_xlfn.IFS(E344&lt;20,"1. Under 20",E344&lt;30,"2. 20-29",E344&lt;40,"3. 30-39",E344&lt;50,"4. 40-49",E344&lt;60,"5. 50-59",E344&lt;70,"6. 60-69",E344&lt;80,"7. 70-79",TRUE,"8. 80+")</f>
        <v>3. 30-39</v>
      </c>
      <c r="M344" t="str">
        <f t="shared" si="5"/>
        <v>2+ years</v>
      </c>
    </row>
    <row r="345" spans="1:13" x14ac:dyDescent="0.25">
      <c r="A345" t="s">
        <v>358</v>
      </c>
      <c r="B345" t="s">
        <v>19</v>
      </c>
      <c r="C345">
        <v>38600</v>
      </c>
      <c r="D345">
        <v>10.6</v>
      </c>
      <c r="E345">
        <v>31</v>
      </c>
      <c r="F345">
        <v>0</v>
      </c>
      <c r="G345" t="s">
        <v>7</v>
      </c>
      <c r="H345">
        <v>2</v>
      </c>
      <c r="I345">
        <v>78679</v>
      </c>
      <c r="J345">
        <v>621</v>
      </c>
      <c r="K345" t="str" cm="1">
        <f t="array" ref="K345">_xlfn.IFS(J345&lt;600,"520-599",J345&lt;650,"600-649",J345&lt;700,"650-699",J345&lt;750,"700-749",TRUE,"750+")</f>
        <v>600-649</v>
      </c>
      <c r="L345" t="str" cm="1">
        <f t="array" ref="L345">_xlfn.IFS(E345&lt;20,"1. Under 20",E345&lt;30,"2. 20-29",E345&lt;40,"3. 30-39",E345&lt;50,"4. 40-49",E345&lt;60,"5. 50-59",E345&lt;70,"6. 60-69",E345&lt;80,"7. 70-79",TRUE,"8. 80+")</f>
        <v>3. 30-39</v>
      </c>
      <c r="M345" t="str">
        <f t="shared" si="5"/>
        <v>2+ years</v>
      </c>
    </row>
    <row r="346" spans="1:13" x14ac:dyDescent="0.25">
      <c r="A346" t="s">
        <v>359</v>
      </c>
      <c r="B346" t="s">
        <v>15</v>
      </c>
      <c r="C346">
        <v>48500</v>
      </c>
      <c r="D346">
        <v>8.6300000000000008</v>
      </c>
      <c r="E346">
        <v>58.9</v>
      </c>
      <c r="F346">
        <v>0</v>
      </c>
      <c r="G346" t="s">
        <v>2</v>
      </c>
      <c r="H346">
        <v>3</v>
      </c>
      <c r="I346">
        <v>76451</v>
      </c>
      <c r="J346">
        <v>745</v>
      </c>
      <c r="K346" t="str" cm="1">
        <f t="array" ref="K346">_xlfn.IFS(J346&lt;600,"520-599",J346&lt;650,"600-649",J346&lt;700,"650-699",J346&lt;750,"700-749",TRUE,"750+")</f>
        <v>700-749</v>
      </c>
      <c r="L346" t="str" cm="1">
        <f t="array" ref="L346">_xlfn.IFS(E346&lt;20,"1. Under 20",E346&lt;30,"2. 20-29",E346&lt;40,"3. 30-39",E346&lt;50,"4. 40-49",E346&lt;60,"5. 50-59",E346&lt;70,"6. 60-69",E346&lt;80,"7. 70-79",TRUE,"8. 80+")</f>
        <v>5. 50-59</v>
      </c>
      <c r="M346" t="str">
        <f t="shared" si="5"/>
        <v>2+ years</v>
      </c>
    </row>
    <row r="347" spans="1:13" x14ac:dyDescent="0.25">
      <c r="A347" t="s">
        <v>360</v>
      </c>
      <c r="B347" t="s">
        <v>4</v>
      </c>
      <c r="C347">
        <v>33000</v>
      </c>
      <c r="D347">
        <v>9.6</v>
      </c>
      <c r="E347">
        <v>38</v>
      </c>
      <c r="F347">
        <v>0</v>
      </c>
      <c r="G347" t="s">
        <v>2</v>
      </c>
      <c r="H347">
        <v>7</v>
      </c>
      <c r="I347">
        <v>67675</v>
      </c>
      <c r="J347">
        <v>736</v>
      </c>
      <c r="K347" t="str" cm="1">
        <f t="array" ref="K347">_xlfn.IFS(J347&lt;600,"520-599",J347&lt;650,"600-649",J347&lt;700,"650-699",J347&lt;750,"700-749",TRUE,"750+")</f>
        <v>700-749</v>
      </c>
      <c r="L347" t="str" cm="1">
        <f t="array" ref="L347">_xlfn.IFS(E347&lt;20,"1. Under 20",E347&lt;30,"2. 20-29",E347&lt;40,"3. 30-39",E347&lt;50,"4. 40-49",E347&lt;60,"5. 50-59",E347&lt;70,"6. 60-69",E347&lt;80,"7. 70-79",TRUE,"8. 80+")</f>
        <v>3. 30-39</v>
      </c>
      <c r="M347" t="str">
        <f t="shared" si="5"/>
        <v>2+ years</v>
      </c>
    </row>
    <row r="348" spans="1:13" x14ac:dyDescent="0.25">
      <c r="A348" t="s">
        <v>361</v>
      </c>
      <c r="B348" t="s">
        <v>1</v>
      </c>
      <c r="C348">
        <v>25800</v>
      </c>
      <c r="D348">
        <v>10.98</v>
      </c>
      <c r="E348">
        <v>37</v>
      </c>
      <c r="F348">
        <v>0</v>
      </c>
      <c r="G348" t="s">
        <v>2</v>
      </c>
      <c r="H348">
        <v>16</v>
      </c>
      <c r="I348">
        <v>49464</v>
      </c>
      <c r="J348">
        <v>736</v>
      </c>
      <c r="K348" t="str" cm="1">
        <f t="array" ref="K348">_xlfn.IFS(J348&lt;600,"520-599",J348&lt;650,"600-649",J348&lt;700,"650-699",J348&lt;750,"700-749",TRUE,"750+")</f>
        <v>700-749</v>
      </c>
      <c r="L348" t="str" cm="1">
        <f t="array" ref="L348">_xlfn.IFS(E348&lt;20,"1. Under 20",E348&lt;30,"2. 20-29",E348&lt;40,"3. 30-39",E348&lt;50,"4. 40-49",E348&lt;60,"5. 50-59",E348&lt;70,"6. 60-69",E348&lt;80,"7. 70-79",TRUE,"8. 80+")</f>
        <v>3. 30-39</v>
      </c>
      <c r="M348" t="str">
        <f t="shared" si="5"/>
        <v>2+ years</v>
      </c>
    </row>
    <row r="349" spans="1:13" x14ac:dyDescent="0.25">
      <c r="A349" t="s">
        <v>362</v>
      </c>
      <c r="B349" t="s">
        <v>9</v>
      </c>
      <c r="C349">
        <v>20100</v>
      </c>
      <c r="D349">
        <v>14.98</v>
      </c>
      <c r="E349">
        <v>26.1</v>
      </c>
      <c r="F349">
        <v>1</v>
      </c>
      <c r="G349" t="s">
        <v>7</v>
      </c>
      <c r="H349">
        <v>29</v>
      </c>
      <c r="I349">
        <v>65165</v>
      </c>
      <c r="J349">
        <v>582</v>
      </c>
      <c r="K349" t="str" cm="1">
        <f t="array" ref="K349">_xlfn.IFS(J349&lt;600,"520-599",J349&lt;650,"600-649",J349&lt;700,"650-699",J349&lt;750,"700-749",TRUE,"750+")</f>
        <v>520-599</v>
      </c>
      <c r="L349" t="str" cm="1">
        <f t="array" ref="L349">_xlfn.IFS(E349&lt;20,"1. Under 20",E349&lt;30,"2. 20-29",E349&lt;40,"3. 30-39",E349&lt;50,"4. 40-49",E349&lt;60,"5. 50-59",E349&lt;70,"6. 60-69",E349&lt;80,"7. 70-79",TRUE,"8. 80+")</f>
        <v>2. 20-29</v>
      </c>
      <c r="M349" t="str">
        <f t="shared" si="5"/>
        <v>2+ years</v>
      </c>
    </row>
    <row r="350" spans="1:13" x14ac:dyDescent="0.25">
      <c r="A350" t="s">
        <v>363</v>
      </c>
      <c r="B350" t="s">
        <v>17</v>
      </c>
      <c r="C350">
        <v>19900</v>
      </c>
      <c r="D350">
        <v>9.8699999999999992</v>
      </c>
      <c r="E350">
        <v>53.6</v>
      </c>
      <c r="F350">
        <v>0</v>
      </c>
      <c r="G350" t="s">
        <v>29</v>
      </c>
      <c r="H350">
        <v>17</v>
      </c>
      <c r="I350">
        <v>55935</v>
      </c>
      <c r="J350">
        <v>783</v>
      </c>
      <c r="K350" t="str" cm="1">
        <f t="array" ref="K350">_xlfn.IFS(J350&lt;600,"520-599",J350&lt;650,"600-649",J350&lt;700,"650-699",J350&lt;750,"700-749",TRUE,"750+")</f>
        <v>750+</v>
      </c>
      <c r="L350" t="str" cm="1">
        <f t="array" ref="L350">_xlfn.IFS(E350&lt;20,"1. Under 20",E350&lt;30,"2. 20-29",E350&lt;40,"3. 30-39",E350&lt;50,"4. 40-49",E350&lt;60,"5. 50-59",E350&lt;70,"6. 60-69",E350&lt;80,"7. 70-79",TRUE,"8. 80+")</f>
        <v>5. 50-59</v>
      </c>
      <c r="M350" t="str">
        <f t="shared" si="5"/>
        <v>2+ years</v>
      </c>
    </row>
    <row r="351" spans="1:13" x14ac:dyDescent="0.25">
      <c r="A351" t="s">
        <v>364</v>
      </c>
      <c r="B351" t="s">
        <v>13</v>
      </c>
      <c r="C351">
        <v>17200</v>
      </c>
      <c r="D351">
        <v>10.56</v>
      </c>
      <c r="E351">
        <v>9.8000000000000007</v>
      </c>
      <c r="F351">
        <v>1</v>
      </c>
      <c r="G351" t="s">
        <v>2</v>
      </c>
      <c r="H351">
        <v>2</v>
      </c>
      <c r="I351">
        <v>131318</v>
      </c>
      <c r="J351">
        <v>574</v>
      </c>
      <c r="K351" t="str" cm="1">
        <f t="array" ref="K351">_xlfn.IFS(J351&lt;600,"520-599",J351&lt;650,"600-649",J351&lt;700,"650-699",J351&lt;750,"700-749",TRUE,"750+")</f>
        <v>520-599</v>
      </c>
      <c r="L351" t="str" cm="1">
        <f t="array" ref="L351">_xlfn.IFS(E351&lt;20,"1. Under 20",E351&lt;30,"2. 20-29",E351&lt;40,"3. 30-39",E351&lt;50,"4. 40-49",E351&lt;60,"5. 50-59",E351&lt;70,"6. 60-69",E351&lt;80,"7. 70-79",TRUE,"8. 80+")</f>
        <v>1. Under 20</v>
      </c>
      <c r="M351" t="str">
        <f t="shared" si="5"/>
        <v>2+ years</v>
      </c>
    </row>
    <row r="352" spans="1:13" x14ac:dyDescent="0.25">
      <c r="A352" t="s">
        <v>365</v>
      </c>
      <c r="B352" t="s">
        <v>17</v>
      </c>
      <c r="C352">
        <v>26100</v>
      </c>
      <c r="D352">
        <v>12.42</v>
      </c>
      <c r="E352">
        <v>19.899999999999999</v>
      </c>
      <c r="F352">
        <v>0</v>
      </c>
      <c r="G352" t="s">
        <v>7</v>
      </c>
      <c r="H352">
        <v>11</v>
      </c>
      <c r="I352">
        <v>101722</v>
      </c>
      <c r="J352">
        <v>648</v>
      </c>
      <c r="K352" t="str" cm="1">
        <f t="array" ref="K352">_xlfn.IFS(J352&lt;600,"520-599",J352&lt;650,"600-649",J352&lt;700,"650-699",J352&lt;750,"700-749",TRUE,"750+")</f>
        <v>600-649</v>
      </c>
      <c r="L352" t="str" cm="1">
        <f t="array" ref="L352">_xlfn.IFS(E352&lt;20,"1. Under 20",E352&lt;30,"2. 20-29",E352&lt;40,"3. 30-39",E352&lt;50,"4. 40-49",E352&lt;60,"5. 50-59",E352&lt;70,"6. 60-69",E352&lt;80,"7. 70-79",TRUE,"8. 80+")</f>
        <v>1. Under 20</v>
      </c>
      <c r="M352" t="str">
        <f t="shared" si="5"/>
        <v>2+ years</v>
      </c>
    </row>
    <row r="353" spans="1:13" x14ac:dyDescent="0.25">
      <c r="A353" t="s">
        <v>366</v>
      </c>
      <c r="B353" t="s">
        <v>19</v>
      </c>
      <c r="C353">
        <v>12600</v>
      </c>
      <c r="D353">
        <v>11.36</v>
      </c>
      <c r="E353">
        <v>62.4</v>
      </c>
      <c r="F353">
        <v>1</v>
      </c>
      <c r="G353" t="s">
        <v>7</v>
      </c>
      <c r="H353">
        <v>1</v>
      </c>
      <c r="I353">
        <v>25301</v>
      </c>
      <c r="J353">
        <v>609</v>
      </c>
      <c r="K353" t="str" cm="1">
        <f t="array" ref="K353">_xlfn.IFS(J353&lt;600,"520-599",J353&lt;650,"600-649",J353&lt;700,"650-699",J353&lt;750,"700-749",TRUE,"750+")</f>
        <v>600-649</v>
      </c>
      <c r="L353" t="str" cm="1">
        <f t="array" ref="L353">_xlfn.IFS(E353&lt;20,"1. Under 20",E353&lt;30,"2. 20-29",E353&lt;40,"3. 30-39",E353&lt;50,"4. 40-49",E353&lt;60,"5. 50-59",E353&lt;70,"6. 60-69",E353&lt;80,"7. 70-79",TRUE,"8. 80+")</f>
        <v>6. 60-69</v>
      </c>
      <c r="M353" t="str">
        <f t="shared" si="5"/>
        <v>Under 2 years</v>
      </c>
    </row>
    <row r="354" spans="1:13" x14ac:dyDescent="0.25">
      <c r="A354" t="s">
        <v>367</v>
      </c>
      <c r="B354" t="s">
        <v>6</v>
      </c>
      <c r="C354">
        <v>2400</v>
      </c>
      <c r="D354">
        <v>8.51</v>
      </c>
      <c r="E354">
        <v>29.5</v>
      </c>
      <c r="F354">
        <v>0</v>
      </c>
      <c r="G354" t="s">
        <v>2</v>
      </c>
      <c r="H354">
        <v>2</v>
      </c>
      <c r="I354">
        <v>40669</v>
      </c>
      <c r="J354">
        <v>774</v>
      </c>
      <c r="K354" t="str" cm="1">
        <f t="array" ref="K354">_xlfn.IFS(J354&lt;600,"520-599",J354&lt;650,"600-649",J354&lt;700,"650-699",J354&lt;750,"700-749",TRUE,"750+")</f>
        <v>750+</v>
      </c>
      <c r="L354" t="str" cm="1">
        <f t="array" ref="L354">_xlfn.IFS(E354&lt;20,"1. Under 20",E354&lt;30,"2. 20-29",E354&lt;40,"3. 30-39",E354&lt;50,"4. 40-49",E354&lt;60,"5. 50-59",E354&lt;70,"6. 60-69",E354&lt;80,"7. 70-79",TRUE,"8. 80+")</f>
        <v>2. 20-29</v>
      </c>
      <c r="M354" t="str">
        <f t="shared" si="5"/>
        <v>2+ years</v>
      </c>
    </row>
    <row r="355" spans="1:13" x14ac:dyDescent="0.25">
      <c r="A355" t="s">
        <v>368</v>
      </c>
      <c r="B355" t="s">
        <v>26</v>
      </c>
      <c r="C355">
        <v>2600</v>
      </c>
      <c r="D355">
        <v>12.05</v>
      </c>
      <c r="E355">
        <v>28.9</v>
      </c>
      <c r="F355">
        <v>0</v>
      </c>
      <c r="G355" t="s">
        <v>2</v>
      </c>
      <c r="H355">
        <v>2</v>
      </c>
      <c r="I355">
        <v>40669</v>
      </c>
      <c r="J355">
        <v>774</v>
      </c>
      <c r="K355" t="str" cm="1">
        <f t="array" ref="K355">_xlfn.IFS(J355&lt;600,"520-599",J355&lt;650,"600-649",J355&lt;700,"650-699",J355&lt;750,"700-749",TRUE,"750+")</f>
        <v>750+</v>
      </c>
      <c r="L355" t="str" cm="1">
        <f t="array" ref="L355">_xlfn.IFS(E355&lt;20,"1. Under 20",E355&lt;30,"2. 20-29",E355&lt;40,"3. 30-39",E355&lt;50,"4. 40-49",E355&lt;60,"5. 50-59",E355&lt;70,"6. 60-69",E355&lt;80,"7. 70-79",TRUE,"8. 80+")</f>
        <v>2. 20-29</v>
      </c>
      <c r="M355" t="str">
        <f t="shared" si="5"/>
        <v>2+ years</v>
      </c>
    </row>
    <row r="356" spans="1:13" x14ac:dyDescent="0.25">
      <c r="A356" t="s">
        <v>369</v>
      </c>
      <c r="B356" t="s">
        <v>19</v>
      </c>
      <c r="C356">
        <v>39700</v>
      </c>
      <c r="D356">
        <v>10.93</v>
      </c>
      <c r="E356">
        <v>21.3</v>
      </c>
      <c r="F356">
        <v>0</v>
      </c>
      <c r="G356" t="s">
        <v>10</v>
      </c>
      <c r="H356">
        <v>2</v>
      </c>
      <c r="I356">
        <v>103644</v>
      </c>
      <c r="J356">
        <v>761</v>
      </c>
      <c r="K356" t="str" cm="1">
        <f t="array" ref="K356">_xlfn.IFS(J356&lt;600,"520-599",J356&lt;650,"600-649",J356&lt;700,"650-699",J356&lt;750,"700-749",TRUE,"750+")</f>
        <v>750+</v>
      </c>
      <c r="L356" t="str" cm="1">
        <f t="array" ref="L356">_xlfn.IFS(E356&lt;20,"1. Under 20",E356&lt;30,"2. 20-29",E356&lt;40,"3. 30-39",E356&lt;50,"4. 40-49",E356&lt;60,"5. 50-59",E356&lt;70,"6. 60-69",E356&lt;80,"7. 70-79",TRUE,"8. 80+")</f>
        <v>2. 20-29</v>
      </c>
      <c r="M356" t="str">
        <f t="shared" si="5"/>
        <v>2+ years</v>
      </c>
    </row>
    <row r="357" spans="1:13" x14ac:dyDescent="0.25">
      <c r="A357" t="s">
        <v>370</v>
      </c>
      <c r="B357" t="s">
        <v>4</v>
      </c>
      <c r="C357">
        <v>9300</v>
      </c>
      <c r="D357">
        <v>8.15</v>
      </c>
      <c r="E357">
        <v>38.4</v>
      </c>
      <c r="F357">
        <v>0</v>
      </c>
      <c r="G357" t="s">
        <v>7</v>
      </c>
      <c r="H357">
        <v>2</v>
      </c>
      <c r="I357">
        <v>32933</v>
      </c>
      <c r="J357">
        <v>720</v>
      </c>
      <c r="K357" t="str" cm="1">
        <f t="array" ref="K357">_xlfn.IFS(J357&lt;600,"520-599",J357&lt;650,"600-649",J357&lt;700,"650-699",J357&lt;750,"700-749",TRUE,"750+")</f>
        <v>700-749</v>
      </c>
      <c r="L357" t="str" cm="1">
        <f t="array" ref="L357">_xlfn.IFS(E357&lt;20,"1. Under 20",E357&lt;30,"2. 20-29",E357&lt;40,"3. 30-39",E357&lt;50,"4. 40-49",E357&lt;60,"5. 50-59",E357&lt;70,"6. 60-69",E357&lt;80,"7. 70-79",TRUE,"8. 80+")</f>
        <v>3. 30-39</v>
      </c>
      <c r="M357" t="str">
        <f t="shared" si="5"/>
        <v>2+ years</v>
      </c>
    </row>
    <row r="358" spans="1:13" x14ac:dyDescent="0.25">
      <c r="A358" t="s">
        <v>371</v>
      </c>
      <c r="B358" t="s">
        <v>13</v>
      </c>
      <c r="C358">
        <v>19900</v>
      </c>
      <c r="D358">
        <v>13.08</v>
      </c>
      <c r="E358">
        <v>49.5</v>
      </c>
      <c r="F358">
        <v>0</v>
      </c>
      <c r="G358" t="s">
        <v>7</v>
      </c>
      <c r="H358">
        <v>2</v>
      </c>
      <c r="I358">
        <v>63005</v>
      </c>
      <c r="J358">
        <v>644</v>
      </c>
      <c r="K358" t="str" cm="1">
        <f t="array" ref="K358">_xlfn.IFS(J358&lt;600,"520-599",J358&lt;650,"600-649",J358&lt;700,"650-699",J358&lt;750,"700-749",TRUE,"750+")</f>
        <v>600-649</v>
      </c>
      <c r="L358" t="str" cm="1">
        <f t="array" ref="L358">_xlfn.IFS(E358&lt;20,"1. Under 20",E358&lt;30,"2. 20-29",E358&lt;40,"3. 30-39",E358&lt;50,"4. 40-49",E358&lt;60,"5. 50-59",E358&lt;70,"6. 60-69",E358&lt;80,"7. 70-79",TRUE,"8. 80+")</f>
        <v>4. 40-49</v>
      </c>
      <c r="M358" t="str">
        <f t="shared" si="5"/>
        <v>2+ years</v>
      </c>
    </row>
    <row r="359" spans="1:13" x14ac:dyDescent="0.25">
      <c r="A359" t="s">
        <v>372</v>
      </c>
      <c r="B359" t="s">
        <v>15</v>
      </c>
      <c r="C359">
        <v>49700</v>
      </c>
      <c r="D359">
        <v>9.3000000000000007</v>
      </c>
      <c r="E359">
        <v>37.5</v>
      </c>
      <c r="F359">
        <v>0</v>
      </c>
      <c r="G359" t="s">
        <v>7</v>
      </c>
      <c r="H359">
        <v>12</v>
      </c>
      <c r="I359">
        <v>48886</v>
      </c>
      <c r="J359">
        <v>831</v>
      </c>
      <c r="K359" t="str" cm="1">
        <f t="array" ref="K359">_xlfn.IFS(J359&lt;600,"520-599",J359&lt;650,"600-649",J359&lt;700,"650-699",J359&lt;750,"700-749",TRUE,"750+")</f>
        <v>750+</v>
      </c>
      <c r="L359" t="str" cm="1">
        <f t="array" ref="L359">_xlfn.IFS(E359&lt;20,"1. Under 20",E359&lt;30,"2. 20-29",E359&lt;40,"3. 30-39",E359&lt;50,"4. 40-49",E359&lt;60,"5. 50-59",E359&lt;70,"6. 60-69",E359&lt;80,"7. 70-79",TRUE,"8. 80+")</f>
        <v>3. 30-39</v>
      </c>
      <c r="M359" t="str">
        <f t="shared" si="5"/>
        <v>2+ years</v>
      </c>
    </row>
    <row r="360" spans="1:13" x14ac:dyDescent="0.25">
      <c r="A360" t="s">
        <v>373</v>
      </c>
      <c r="B360" t="s">
        <v>6</v>
      </c>
      <c r="C360">
        <v>18800</v>
      </c>
      <c r="D360">
        <v>9</v>
      </c>
      <c r="E360">
        <v>26.7</v>
      </c>
      <c r="F360">
        <v>0</v>
      </c>
      <c r="G360" t="s">
        <v>7</v>
      </c>
      <c r="H360">
        <v>12</v>
      </c>
      <c r="I360">
        <v>48886</v>
      </c>
      <c r="J360">
        <v>831</v>
      </c>
      <c r="K360" t="str" cm="1">
        <f t="array" ref="K360">_xlfn.IFS(J360&lt;600,"520-599",J360&lt;650,"600-649",J360&lt;700,"650-699",J360&lt;750,"700-749",TRUE,"750+")</f>
        <v>750+</v>
      </c>
      <c r="L360" t="str" cm="1">
        <f t="array" ref="L360">_xlfn.IFS(E360&lt;20,"1. Under 20",E360&lt;30,"2. 20-29",E360&lt;40,"3. 30-39",E360&lt;50,"4. 40-49",E360&lt;60,"5. 50-59",E360&lt;70,"6. 60-69",E360&lt;80,"7. 70-79",TRUE,"8. 80+")</f>
        <v>2. 20-29</v>
      </c>
      <c r="M360" t="str">
        <f t="shared" si="5"/>
        <v>2+ years</v>
      </c>
    </row>
    <row r="361" spans="1:13" x14ac:dyDescent="0.25">
      <c r="A361" t="s">
        <v>374</v>
      </c>
      <c r="B361" t="s">
        <v>15</v>
      </c>
      <c r="C361">
        <v>19000</v>
      </c>
      <c r="D361">
        <v>6.03</v>
      </c>
      <c r="E361">
        <v>54.1</v>
      </c>
      <c r="F361">
        <v>1</v>
      </c>
      <c r="G361" t="s">
        <v>7</v>
      </c>
      <c r="H361">
        <v>9</v>
      </c>
      <c r="I361">
        <v>78943</v>
      </c>
      <c r="J361">
        <v>846</v>
      </c>
      <c r="K361" t="str" cm="1">
        <f t="array" ref="K361">_xlfn.IFS(J361&lt;600,"520-599",J361&lt;650,"600-649",J361&lt;700,"650-699",J361&lt;750,"700-749",TRUE,"750+")</f>
        <v>750+</v>
      </c>
      <c r="L361" t="str" cm="1">
        <f t="array" ref="L361">_xlfn.IFS(E361&lt;20,"1. Under 20",E361&lt;30,"2. 20-29",E361&lt;40,"3. 30-39",E361&lt;50,"4. 40-49",E361&lt;60,"5. 50-59",E361&lt;70,"6. 60-69",E361&lt;80,"7. 70-79",TRUE,"8. 80+")</f>
        <v>5. 50-59</v>
      </c>
      <c r="M361" t="str">
        <f t="shared" si="5"/>
        <v>2+ years</v>
      </c>
    </row>
    <row r="362" spans="1:13" x14ac:dyDescent="0.25">
      <c r="A362" t="s">
        <v>375</v>
      </c>
      <c r="B362" t="s">
        <v>19</v>
      </c>
      <c r="C362">
        <v>8100</v>
      </c>
      <c r="D362">
        <v>8.1999999999999993</v>
      </c>
      <c r="E362">
        <v>64.099999999999994</v>
      </c>
      <c r="F362">
        <v>1</v>
      </c>
      <c r="G362" t="s">
        <v>23</v>
      </c>
      <c r="H362">
        <v>9</v>
      </c>
      <c r="I362">
        <v>20963</v>
      </c>
      <c r="J362">
        <v>725</v>
      </c>
      <c r="K362" t="str" cm="1">
        <f t="array" ref="K362">_xlfn.IFS(J362&lt;600,"520-599",J362&lt;650,"600-649",J362&lt;700,"650-699",J362&lt;750,"700-749",TRUE,"750+")</f>
        <v>700-749</v>
      </c>
      <c r="L362" t="str" cm="1">
        <f t="array" ref="L362">_xlfn.IFS(E362&lt;20,"1. Under 20",E362&lt;30,"2. 20-29",E362&lt;40,"3. 30-39",E362&lt;50,"4. 40-49",E362&lt;60,"5. 50-59",E362&lt;70,"6. 60-69",E362&lt;80,"7. 70-79",TRUE,"8. 80+")</f>
        <v>6. 60-69</v>
      </c>
      <c r="M362" t="str">
        <f t="shared" si="5"/>
        <v>2+ years</v>
      </c>
    </row>
    <row r="363" spans="1:13" x14ac:dyDescent="0.25">
      <c r="A363" t="s">
        <v>376</v>
      </c>
      <c r="B363" t="s">
        <v>4</v>
      </c>
      <c r="C363">
        <v>49500</v>
      </c>
      <c r="D363">
        <v>13.08</v>
      </c>
      <c r="E363">
        <v>86.4</v>
      </c>
      <c r="F363">
        <v>0</v>
      </c>
      <c r="G363" t="s">
        <v>7</v>
      </c>
      <c r="H363">
        <v>33</v>
      </c>
      <c r="I363">
        <v>81309</v>
      </c>
      <c r="J363">
        <v>576</v>
      </c>
      <c r="K363" t="str" cm="1">
        <f t="array" ref="K363">_xlfn.IFS(J363&lt;600,"520-599",J363&lt;650,"600-649",J363&lt;700,"650-699",J363&lt;750,"700-749",TRUE,"750+")</f>
        <v>520-599</v>
      </c>
      <c r="L363" t="str" cm="1">
        <f t="array" ref="L363">_xlfn.IFS(E363&lt;20,"1. Under 20",E363&lt;30,"2. 20-29",E363&lt;40,"3. 30-39",E363&lt;50,"4. 40-49",E363&lt;60,"5. 50-59",E363&lt;70,"6. 60-69",E363&lt;80,"7. 70-79",TRUE,"8. 80+")</f>
        <v>8. 80+</v>
      </c>
      <c r="M363" t="str">
        <f t="shared" si="5"/>
        <v>2+ years</v>
      </c>
    </row>
    <row r="364" spans="1:13" x14ac:dyDescent="0.25">
      <c r="A364" t="s">
        <v>377</v>
      </c>
      <c r="B364" t="s">
        <v>19</v>
      </c>
      <c r="C364">
        <v>9200</v>
      </c>
      <c r="D364">
        <v>14.49</v>
      </c>
      <c r="E364">
        <v>55.4</v>
      </c>
      <c r="F364">
        <v>1</v>
      </c>
      <c r="G364" t="s">
        <v>7</v>
      </c>
      <c r="H364">
        <v>33</v>
      </c>
      <c r="I364">
        <v>81309</v>
      </c>
      <c r="J364">
        <v>576</v>
      </c>
      <c r="K364" t="str" cm="1">
        <f t="array" ref="K364">_xlfn.IFS(J364&lt;600,"520-599",J364&lt;650,"600-649",J364&lt;700,"650-699",J364&lt;750,"700-749",TRUE,"750+")</f>
        <v>520-599</v>
      </c>
      <c r="L364" t="str" cm="1">
        <f t="array" ref="L364">_xlfn.IFS(E364&lt;20,"1. Under 20",E364&lt;30,"2. 20-29",E364&lt;40,"3. 30-39",E364&lt;50,"4. 40-49",E364&lt;60,"5. 50-59",E364&lt;70,"6. 60-69",E364&lt;80,"7. 70-79",TRUE,"8. 80+")</f>
        <v>5. 50-59</v>
      </c>
      <c r="M364" t="str">
        <f t="shared" si="5"/>
        <v>2+ years</v>
      </c>
    </row>
    <row r="365" spans="1:13" x14ac:dyDescent="0.25">
      <c r="A365" t="s">
        <v>378</v>
      </c>
      <c r="B365" t="s">
        <v>26</v>
      </c>
      <c r="C365">
        <v>26800</v>
      </c>
      <c r="D365">
        <v>7.81</v>
      </c>
      <c r="E365">
        <v>55.1</v>
      </c>
      <c r="F365">
        <v>0</v>
      </c>
      <c r="G365" t="s">
        <v>10</v>
      </c>
      <c r="H365">
        <v>10</v>
      </c>
      <c r="I365">
        <v>67451</v>
      </c>
      <c r="J365">
        <v>814</v>
      </c>
      <c r="K365" t="str" cm="1">
        <f t="array" ref="K365">_xlfn.IFS(J365&lt;600,"520-599",J365&lt;650,"600-649",J365&lt;700,"650-699",J365&lt;750,"700-749",TRUE,"750+")</f>
        <v>750+</v>
      </c>
      <c r="L365" t="str" cm="1">
        <f t="array" ref="L365">_xlfn.IFS(E365&lt;20,"1. Under 20",E365&lt;30,"2. 20-29",E365&lt;40,"3. 30-39",E365&lt;50,"4. 40-49",E365&lt;60,"5. 50-59",E365&lt;70,"6. 60-69",E365&lt;80,"7. 70-79",TRUE,"8. 80+")</f>
        <v>5. 50-59</v>
      </c>
      <c r="M365" t="str">
        <f t="shared" si="5"/>
        <v>2+ years</v>
      </c>
    </row>
    <row r="366" spans="1:13" x14ac:dyDescent="0.25">
      <c r="A366" t="s">
        <v>379</v>
      </c>
      <c r="B366" t="s">
        <v>26</v>
      </c>
      <c r="C366">
        <v>27200</v>
      </c>
      <c r="D366">
        <v>10.83</v>
      </c>
      <c r="E366">
        <v>54</v>
      </c>
      <c r="F366">
        <v>0</v>
      </c>
      <c r="G366" t="s">
        <v>10</v>
      </c>
      <c r="H366">
        <v>10</v>
      </c>
      <c r="I366">
        <v>67451</v>
      </c>
      <c r="J366">
        <v>814</v>
      </c>
      <c r="K366" t="str" cm="1">
        <f t="array" ref="K366">_xlfn.IFS(J366&lt;600,"520-599",J366&lt;650,"600-649",J366&lt;700,"650-699",J366&lt;750,"700-749",TRUE,"750+")</f>
        <v>750+</v>
      </c>
      <c r="L366" t="str" cm="1">
        <f t="array" ref="L366">_xlfn.IFS(E366&lt;20,"1. Under 20",E366&lt;30,"2. 20-29",E366&lt;40,"3. 30-39",E366&lt;50,"4. 40-49",E366&lt;60,"5. 50-59",E366&lt;70,"6. 60-69",E366&lt;80,"7. 70-79",TRUE,"8. 80+")</f>
        <v>5. 50-59</v>
      </c>
      <c r="M366" t="str">
        <f t="shared" si="5"/>
        <v>2+ years</v>
      </c>
    </row>
    <row r="367" spans="1:13" x14ac:dyDescent="0.25">
      <c r="A367" t="s">
        <v>380</v>
      </c>
      <c r="B367" t="s">
        <v>1</v>
      </c>
      <c r="C367">
        <v>33100</v>
      </c>
      <c r="D367">
        <v>12.62</v>
      </c>
      <c r="E367">
        <v>67.8</v>
      </c>
      <c r="F367">
        <v>1</v>
      </c>
      <c r="G367" t="s">
        <v>7</v>
      </c>
      <c r="H367">
        <v>3</v>
      </c>
      <c r="I367">
        <v>54364</v>
      </c>
      <c r="J367">
        <v>560</v>
      </c>
      <c r="K367" t="str" cm="1">
        <f t="array" ref="K367">_xlfn.IFS(J367&lt;600,"520-599",J367&lt;650,"600-649",J367&lt;700,"650-699",J367&lt;750,"700-749",TRUE,"750+")</f>
        <v>520-599</v>
      </c>
      <c r="L367" t="str" cm="1">
        <f t="array" ref="L367">_xlfn.IFS(E367&lt;20,"1. Under 20",E367&lt;30,"2. 20-29",E367&lt;40,"3. 30-39",E367&lt;50,"4. 40-49",E367&lt;60,"5. 50-59",E367&lt;70,"6. 60-69",E367&lt;80,"7. 70-79",TRUE,"8. 80+")</f>
        <v>6. 60-69</v>
      </c>
      <c r="M367" t="str">
        <f t="shared" si="5"/>
        <v>2+ years</v>
      </c>
    </row>
    <row r="368" spans="1:13" x14ac:dyDescent="0.25">
      <c r="A368" t="s">
        <v>381</v>
      </c>
      <c r="B368" t="s">
        <v>4</v>
      </c>
      <c r="C368">
        <v>45700</v>
      </c>
      <c r="D368">
        <v>9.33</v>
      </c>
      <c r="E368">
        <v>76</v>
      </c>
      <c r="F368">
        <v>0</v>
      </c>
      <c r="G368" t="s">
        <v>7</v>
      </c>
      <c r="H368">
        <v>4</v>
      </c>
      <c r="I368">
        <v>100637</v>
      </c>
      <c r="J368">
        <v>850</v>
      </c>
      <c r="K368" t="str" cm="1">
        <f t="array" ref="K368">_xlfn.IFS(J368&lt;600,"520-599",J368&lt;650,"600-649",J368&lt;700,"650-699",J368&lt;750,"700-749",TRUE,"750+")</f>
        <v>750+</v>
      </c>
      <c r="L368" t="str" cm="1">
        <f t="array" ref="L368">_xlfn.IFS(E368&lt;20,"1. Under 20",E368&lt;30,"2. 20-29",E368&lt;40,"3. 30-39",E368&lt;50,"4. 40-49",E368&lt;60,"5. 50-59",E368&lt;70,"6. 60-69",E368&lt;80,"7. 70-79",TRUE,"8. 80+")</f>
        <v>7. 70-79</v>
      </c>
      <c r="M368" t="str">
        <f t="shared" si="5"/>
        <v>2+ years</v>
      </c>
    </row>
    <row r="369" spans="1:13" x14ac:dyDescent="0.25">
      <c r="A369" t="s">
        <v>382</v>
      </c>
      <c r="B369" t="s">
        <v>15</v>
      </c>
      <c r="C369">
        <v>32100</v>
      </c>
      <c r="D369">
        <v>9.17</v>
      </c>
      <c r="E369">
        <v>63.2</v>
      </c>
      <c r="F369">
        <v>0</v>
      </c>
      <c r="G369" t="s">
        <v>7</v>
      </c>
      <c r="H369">
        <v>4</v>
      </c>
      <c r="I369">
        <v>100637</v>
      </c>
      <c r="J369">
        <v>850</v>
      </c>
      <c r="K369" t="str" cm="1">
        <f t="array" ref="K369">_xlfn.IFS(J369&lt;600,"520-599",J369&lt;650,"600-649",J369&lt;700,"650-699",J369&lt;750,"700-749",TRUE,"750+")</f>
        <v>750+</v>
      </c>
      <c r="L369" t="str" cm="1">
        <f t="array" ref="L369">_xlfn.IFS(E369&lt;20,"1. Under 20",E369&lt;30,"2. 20-29",E369&lt;40,"3. 30-39",E369&lt;50,"4. 40-49",E369&lt;60,"5. 50-59",E369&lt;70,"6. 60-69",E369&lt;80,"7. 70-79",TRUE,"8. 80+")</f>
        <v>6. 60-69</v>
      </c>
      <c r="M369" t="str">
        <f t="shared" si="5"/>
        <v>2+ years</v>
      </c>
    </row>
    <row r="370" spans="1:13" x14ac:dyDescent="0.25">
      <c r="A370" t="s">
        <v>383</v>
      </c>
      <c r="B370" t="s">
        <v>6</v>
      </c>
      <c r="C370">
        <v>14600</v>
      </c>
      <c r="D370">
        <v>8.36</v>
      </c>
      <c r="E370">
        <v>66.099999999999994</v>
      </c>
      <c r="F370">
        <v>0</v>
      </c>
      <c r="G370" t="s">
        <v>7</v>
      </c>
      <c r="H370">
        <v>1</v>
      </c>
      <c r="I370">
        <v>81067</v>
      </c>
      <c r="J370">
        <v>850</v>
      </c>
      <c r="K370" t="str" cm="1">
        <f t="array" ref="K370">_xlfn.IFS(J370&lt;600,"520-599",J370&lt;650,"600-649",J370&lt;700,"650-699",J370&lt;750,"700-749",TRUE,"750+")</f>
        <v>750+</v>
      </c>
      <c r="L370" t="str" cm="1">
        <f t="array" ref="L370">_xlfn.IFS(E370&lt;20,"1. Under 20",E370&lt;30,"2. 20-29",E370&lt;40,"3. 30-39",E370&lt;50,"4. 40-49",E370&lt;60,"5. 50-59",E370&lt;70,"6. 60-69",E370&lt;80,"7. 70-79",TRUE,"8. 80+")</f>
        <v>6. 60-69</v>
      </c>
      <c r="M370" t="str">
        <f t="shared" si="5"/>
        <v>Under 2 years</v>
      </c>
    </row>
    <row r="371" spans="1:13" x14ac:dyDescent="0.25">
      <c r="A371" t="s">
        <v>384</v>
      </c>
      <c r="B371" t="s">
        <v>21</v>
      </c>
      <c r="C371">
        <v>6200</v>
      </c>
      <c r="D371">
        <v>7.94</v>
      </c>
      <c r="E371">
        <v>50.7</v>
      </c>
      <c r="F371">
        <v>0</v>
      </c>
      <c r="G371" t="s">
        <v>29</v>
      </c>
      <c r="H371">
        <v>4</v>
      </c>
      <c r="I371">
        <v>20854</v>
      </c>
      <c r="J371">
        <v>838</v>
      </c>
      <c r="K371" t="str" cm="1">
        <f t="array" ref="K371">_xlfn.IFS(J371&lt;600,"520-599",J371&lt;650,"600-649",J371&lt;700,"650-699",J371&lt;750,"700-749",TRUE,"750+")</f>
        <v>750+</v>
      </c>
      <c r="L371" t="str" cm="1">
        <f t="array" ref="L371">_xlfn.IFS(E371&lt;20,"1. Under 20",E371&lt;30,"2. 20-29",E371&lt;40,"3. 30-39",E371&lt;50,"4. 40-49",E371&lt;60,"5. 50-59",E371&lt;70,"6. 60-69",E371&lt;80,"7. 70-79",TRUE,"8. 80+")</f>
        <v>5. 50-59</v>
      </c>
      <c r="M371" t="str">
        <f t="shared" si="5"/>
        <v>2+ years</v>
      </c>
    </row>
    <row r="372" spans="1:13" x14ac:dyDescent="0.25">
      <c r="A372" t="s">
        <v>385</v>
      </c>
      <c r="B372" t="s">
        <v>15</v>
      </c>
      <c r="C372">
        <v>12300</v>
      </c>
      <c r="D372">
        <v>9.32</v>
      </c>
      <c r="E372">
        <v>34.200000000000003</v>
      </c>
      <c r="F372">
        <v>0</v>
      </c>
      <c r="G372" t="s">
        <v>7</v>
      </c>
      <c r="H372">
        <v>5</v>
      </c>
      <c r="I372">
        <v>22799</v>
      </c>
      <c r="J372">
        <v>779</v>
      </c>
      <c r="K372" t="str" cm="1">
        <f t="array" ref="K372">_xlfn.IFS(J372&lt;600,"520-599",J372&lt;650,"600-649",J372&lt;700,"650-699",J372&lt;750,"700-749",TRUE,"750+")</f>
        <v>750+</v>
      </c>
      <c r="L372" t="str" cm="1">
        <f t="array" ref="L372">_xlfn.IFS(E372&lt;20,"1. Under 20",E372&lt;30,"2. 20-29",E372&lt;40,"3. 30-39",E372&lt;50,"4. 40-49",E372&lt;60,"5. 50-59",E372&lt;70,"6. 60-69",E372&lt;80,"7. 70-79",TRUE,"8. 80+")</f>
        <v>3. 30-39</v>
      </c>
      <c r="M372" t="str">
        <f t="shared" si="5"/>
        <v>2+ years</v>
      </c>
    </row>
    <row r="373" spans="1:13" x14ac:dyDescent="0.25">
      <c r="A373" t="s">
        <v>386</v>
      </c>
      <c r="B373" t="s">
        <v>9</v>
      </c>
      <c r="C373">
        <v>8800</v>
      </c>
      <c r="D373">
        <v>13.28</v>
      </c>
      <c r="E373">
        <v>48.2</v>
      </c>
      <c r="F373">
        <v>1</v>
      </c>
      <c r="G373" t="s">
        <v>2</v>
      </c>
      <c r="H373">
        <v>24</v>
      </c>
      <c r="I373">
        <v>31860</v>
      </c>
      <c r="J373">
        <v>585</v>
      </c>
      <c r="K373" t="str" cm="1">
        <f t="array" ref="K373">_xlfn.IFS(J373&lt;600,"520-599",J373&lt;650,"600-649",J373&lt;700,"650-699",J373&lt;750,"700-749",TRUE,"750+")</f>
        <v>520-599</v>
      </c>
      <c r="L373" t="str" cm="1">
        <f t="array" ref="L373">_xlfn.IFS(E373&lt;20,"1. Under 20",E373&lt;30,"2. 20-29",E373&lt;40,"3. 30-39",E373&lt;50,"4. 40-49",E373&lt;60,"5. 50-59",E373&lt;70,"6. 60-69",E373&lt;80,"7. 70-79",TRUE,"8. 80+")</f>
        <v>4. 40-49</v>
      </c>
      <c r="M373" t="str">
        <f t="shared" si="5"/>
        <v>2+ years</v>
      </c>
    </row>
    <row r="374" spans="1:13" x14ac:dyDescent="0.25">
      <c r="A374" t="s">
        <v>387</v>
      </c>
      <c r="B374" t="s">
        <v>15</v>
      </c>
      <c r="C374">
        <v>11000</v>
      </c>
      <c r="D374">
        <v>7.78</v>
      </c>
      <c r="E374">
        <v>45.1</v>
      </c>
      <c r="F374">
        <v>0</v>
      </c>
      <c r="G374" t="s">
        <v>29</v>
      </c>
      <c r="H374">
        <v>3</v>
      </c>
      <c r="I374">
        <v>35035</v>
      </c>
      <c r="J374">
        <v>779</v>
      </c>
      <c r="K374" t="str" cm="1">
        <f t="array" ref="K374">_xlfn.IFS(J374&lt;600,"520-599",J374&lt;650,"600-649",J374&lt;700,"650-699",J374&lt;750,"700-749",TRUE,"750+")</f>
        <v>750+</v>
      </c>
      <c r="L374" t="str" cm="1">
        <f t="array" ref="L374">_xlfn.IFS(E374&lt;20,"1. Under 20",E374&lt;30,"2. 20-29",E374&lt;40,"3. 30-39",E374&lt;50,"4. 40-49",E374&lt;60,"5. 50-59",E374&lt;70,"6. 60-69",E374&lt;80,"7. 70-79",TRUE,"8. 80+")</f>
        <v>4. 40-49</v>
      </c>
      <c r="M374" t="str">
        <f t="shared" si="5"/>
        <v>2+ years</v>
      </c>
    </row>
    <row r="375" spans="1:13" x14ac:dyDescent="0.25">
      <c r="A375" t="s">
        <v>388</v>
      </c>
      <c r="B375" t="s">
        <v>1</v>
      </c>
      <c r="C375">
        <v>42200</v>
      </c>
      <c r="D375">
        <v>13.39</v>
      </c>
      <c r="E375">
        <v>69.7</v>
      </c>
      <c r="F375">
        <v>1</v>
      </c>
      <c r="G375" t="s">
        <v>2</v>
      </c>
      <c r="H375">
        <v>7</v>
      </c>
      <c r="I375">
        <v>53878</v>
      </c>
      <c r="J375">
        <v>589</v>
      </c>
      <c r="K375" t="str" cm="1">
        <f t="array" ref="K375">_xlfn.IFS(J375&lt;600,"520-599",J375&lt;650,"600-649",J375&lt;700,"650-699",J375&lt;750,"700-749",TRUE,"750+")</f>
        <v>520-599</v>
      </c>
      <c r="L375" t="str" cm="1">
        <f t="array" ref="L375">_xlfn.IFS(E375&lt;20,"1. Under 20",E375&lt;30,"2. 20-29",E375&lt;40,"3. 30-39",E375&lt;50,"4. 40-49",E375&lt;60,"5. 50-59",E375&lt;70,"6. 60-69",E375&lt;80,"7. 70-79",TRUE,"8. 80+")</f>
        <v>6. 60-69</v>
      </c>
      <c r="M375" t="str">
        <f t="shared" si="5"/>
        <v>2+ years</v>
      </c>
    </row>
    <row r="376" spans="1:13" x14ac:dyDescent="0.25">
      <c r="A376" t="s">
        <v>389</v>
      </c>
      <c r="B376" t="s">
        <v>26</v>
      </c>
      <c r="C376">
        <v>13400</v>
      </c>
      <c r="D376">
        <v>14.29</v>
      </c>
      <c r="E376">
        <v>51.9</v>
      </c>
      <c r="F376">
        <v>0</v>
      </c>
      <c r="G376" t="s">
        <v>7</v>
      </c>
      <c r="H376">
        <v>1</v>
      </c>
      <c r="I376">
        <v>54791</v>
      </c>
      <c r="J376">
        <v>621</v>
      </c>
      <c r="K376" t="str" cm="1">
        <f t="array" ref="K376">_xlfn.IFS(J376&lt;600,"520-599",J376&lt;650,"600-649",J376&lt;700,"650-699",J376&lt;750,"700-749",TRUE,"750+")</f>
        <v>600-649</v>
      </c>
      <c r="L376" t="str" cm="1">
        <f t="array" ref="L376">_xlfn.IFS(E376&lt;20,"1. Under 20",E376&lt;30,"2. 20-29",E376&lt;40,"3. 30-39",E376&lt;50,"4. 40-49",E376&lt;60,"5. 50-59",E376&lt;70,"6. 60-69",E376&lt;80,"7. 70-79",TRUE,"8. 80+")</f>
        <v>5. 50-59</v>
      </c>
      <c r="M376" t="str">
        <f t="shared" si="5"/>
        <v>Under 2 years</v>
      </c>
    </row>
    <row r="377" spans="1:13" x14ac:dyDescent="0.25">
      <c r="A377" t="s">
        <v>390</v>
      </c>
      <c r="B377" t="s">
        <v>21</v>
      </c>
      <c r="C377">
        <v>10100</v>
      </c>
      <c r="D377">
        <v>9.89</v>
      </c>
      <c r="E377">
        <v>67.099999999999994</v>
      </c>
      <c r="F377">
        <v>0</v>
      </c>
      <c r="G377" t="s">
        <v>7</v>
      </c>
      <c r="H377">
        <v>2</v>
      </c>
      <c r="I377">
        <v>62677</v>
      </c>
      <c r="J377">
        <v>673</v>
      </c>
      <c r="K377" t="str" cm="1">
        <f t="array" ref="K377">_xlfn.IFS(J377&lt;600,"520-599",J377&lt;650,"600-649",J377&lt;700,"650-699",J377&lt;750,"700-749",TRUE,"750+")</f>
        <v>650-699</v>
      </c>
      <c r="L377" t="str" cm="1">
        <f t="array" ref="L377">_xlfn.IFS(E377&lt;20,"1. Under 20",E377&lt;30,"2. 20-29",E377&lt;40,"3. 30-39",E377&lt;50,"4. 40-49",E377&lt;60,"5. 50-59",E377&lt;70,"6. 60-69",E377&lt;80,"7. 70-79",TRUE,"8. 80+")</f>
        <v>6. 60-69</v>
      </c>
      <c r="M377" t="str">
        <f t="shared" si="5"/>
        <v>2+ years</v>
      </c>
    </row>
    <row r="378" spans="1:13" x14ac:dyDescent="0.25">
      <c r="A378" t="s">
        <v>391</v>
      </c>
      <c r="B378" t="s">
        <v>4</v>
      </c>
      <c r="C378">
        <v>23900</v>
      </c>
      <c r="D378">
        <v>10.64</v>
      </c>
      <c r="E378">
        <v>76.8</v>
      </c>
      <c r="F378">
        <v>0</v>
      </c>
      <c r="G378" t="s">
        <v>7</v>
      </c>
      <c r="H378">
        <v>1</v>
      </c>
      <c r="I378">
        <v>31521</v>
      </c>
      <c r="J378">
        <v>730</v>
      </c>
      <c r="K378" t="str" cm="1">
        <f t="array" ref="K378">_xlfn.IFS(J378&lt;600,"520-599",J378&lt;650,"600-649",J378&lt;700,"650-699",J378&lt;750,"700-749",TRUE,"750+")</f>
        <v>700-749</v>
      </c>
      <c r="L378" t="str" cm="1">
        <f t="array" ref="L378">_xlfn.IFS(E378&lt;20,"1. Under 20",E378&lt;30,"2. 20-29",E378&lt;40,"3. 30-39",E378&lt;50,"4. 40-49",E378&lt;60,"5. 50-59",E378&lt;70,"6. 60-69",E378&lt;80,"7. 70-79",TRUE,"8. 80+")</f>
        <v>7. 70-79</v>
      </c>
      <c r="M378" t="str">
        <f t="shared" si="5"/>
        <v>Under 2 years</v>
      </c>
    </row>
    <row r="379" spans="1:13" x14ac:dyDescent="0.25">
      <c r="A379" t="s">
        <v>392</v>
      </c>
      <c r="B379" t="s">
        <v>19</v>
      </c>
      <c r="C379">
        <v>8300</v>
      </c>
      <c r="D379">
        <v>8.84</v>
      </c>
      <c r="E379">
        <v>41</v>
      </c>
      <c r="F379">
        <v>1</v>
      </c>
      <c r="G379" t="s">
        <v>7</v>
      </c>
      <c r="H379">
        <v>18</v>
      </c>
      <c r="I379">
        <v>35385</v>
      </c>
      <c r="J379">
        <v>674</v>
      </c>
      <c r="K379" t="str" cm="1">
        <f t="array" ref="K379">_xlfn.IFS(J379&lt;600,"520-599",J379&lt;650,"600-649",J379&lt;700,"650-699",J379&lt;750,"700-749",TRUE,"750+")</f>
        <v>650-699</v>
      </c>
      <c r="L379" t="str" cm="1">
        <f t="array" ref="L379">_xlfn.IFS(E379&lt;20,"1. Under 20",E379&lt;30,"2. 20-29",E379&lt;40,"3. 30-39",E379&lt;50,"4. 40-49",E379&lt;60,"5. 50-59",E379&lt;70,"6. 60-69",E379&lt;80,"7. 70-79",TRUE,"8. 80+")</f>
        <v>4. 40-49</v>
      </c>
      <c r="M379" t="str">
        <f t="shared" si="5"/>
        <v>2+ years</v>
      </c>
    </row>
    <row r="380" spans="1:13" x14ac:dyDescent="0.25">
      <c r="A380" t="s">
        <v>393</v>
      </c>
      <c r="B380" t="s">
        <v>17</v>
      </c>
      <c r="C380">
        <v>15400</v>
      </c>
      <c r="D380">
        <v>8.19</v>
      </c>
      <c r="E380">
        <v>20.9</v>
      </c>
      <c r="F380">
        <v>0</v>
      </c>
      <c r="G380" t="s">
        <v>29</v>
      </c>
      <c r="H380">
        <v>15</v>
      </c>
      <c r="I380">
        <v>88548</v>
      </c>
      <c r="J380">
        <v>819</v>
      </c>
      <c r="K380" t="str" cm="1">
        <f t="array" ref="K380">_xlfn.IFS(J380&lt;600,"520-599",J380&lt;650,"600-649",J380&lt;700,"650-699",J380&lt;750,"700-749",TRUE,"750+")</f>
        <v>750+</v>
      </c>
      <c r="L380" t="str" cm="1">
        <f t="array" ref="L380">_xlfn.IFS(E380&lt;20,"1. Under 20",E380&lt;30,"2. 20-29",E380&lt;40,"3. 30-39",E380&lt;50,"4. 40-49",E380&lt;60,"5. 50-59",E380&lt;70,"6. 60-69",E380&lt;80,"7. 70-79",TRUE,"8. 80+")</f>
        <v>2. 20-29</v>
      </c>
      <c r="M380" t="str">
        <f t="shared" si="5"/>
        <v>2+ years</v>
      </c>
    </row>
    <row r="381" spans="1:13" x14ac:dyDescent="0.25">
      <c r="A381" t="s">
        <v>394</v>
      </c>
      <c r="B381" t="s">
        <v>17</v>
      </c>
      <c r="C381">
        <v>38100</v>
      </c>
      <c r="D381">
        <v>9.17</v>
      </c>
      <c r="E381">
        <v>64.5</v>
      </c>
      <c r="F381">
        <v>0</v>
      </c>
      <c r="G381" t="s">
        <v>2</v>
      </c>
      <c r="H381">
        <v>0</v>
      </c>
      <c r="I381">
        <v>41212</v>
      </c>
      <c r="J381">
        <v>701</v>
      </c>
      <c r="K381" t="str" cm="1">
        <f t="array" ref="K381">_xlfn.IFS(J381&lt;600,"520-599",J381&lt;650,"600-649",J381&lt;700,"650-699",J381&lt;750,"700-749",TRUE,"750+")</f>
        <v>700-749</v>
      </c>
      <c r="L381" t="str" cm="1">
        <f t="array" ref="L381">_xlfn.IFS(E381&lt;20,"1. Under 20",E381&lt;30,"2. 20-29",E381&lt;40,"3. 30-39",E381&lt;50,"4. 40-49",E381&lt;60,"5. 50-59",E381&lt;70,"6. 60-69",E381&lt;80,"7. 70-79",TRUE,"8. 80+")</f>
        <v>6. 60-69</v>
      </c>
      <c r="M381" t="str">
        <f t="shared" si="5"/>
        <v>Under 2 years</v>
      </c>
    </row>
    <row r="382" spans="1:13" x14ac:dyDescent="0.25">
      <c r="A382" t="s">
        <v>395</v>
      </c>
      <c r="B382" t="s">
        <v>15</v>
      </c>
      <c r="C382">
        <v>13700</v>
      </c>
      <c r="D382">
        <v>15.64</v>
      </c>
      <c r="E382">
        <v>36.200000000000003</v>
      </c>
      <c r="F382">
        <v>1</v>
      </c>
      <c r="G382" t="s">
        <v>29</v>
      </c>
      <c r="H382">
        <v>2</v>
      </c>
      <c r="I382">
        <v>29277</v>
      </c>
      <c r="J382">
        <v>555</v>
      </c>
      <c r="K382" t="str" cm="1">
        <f t="array" ref="K382">_xlfn.IFS(J382&lt;600,"520-599",J382&lt;650,"600-649",J382&lt;700,"650-699",J382&lt;750,"700-749",TRUE,"750+")</f>
        <v>520-599</v>
      </c>
      <c r="L382" t="str" cm="1">
        <f t="array" ref="L382">_xlfn.IFS(E382&lt;20,"1. Under 20",E382&lt;30,"2. 20-29",E382&lt;40,"3. 30-39",E382&lt;50,"4. 40-49",E382&lt;60,"5. 50-59",E382&lt;70,"6. 60-69",E382&lt;80,"7. 70-79",TRUE,"8. 80+")</f>
        <v>3. 30-39</v>
      </c>
      <c r="M382" t="str">
        <f t="shared" si="5"/>
        <v>2+ years</v>
      </c>
    </row>
    <row r="383" spans="1:13" x14ac:dyDescent="0.25">
      <c r="A383" t="s">
        <v>396</v>
      </c>
      <c r="B383" t="s">
        <v>26</v>
      </c>
      <c r="C383">
        <v>26500</v>
      </c>
      <c r="D383">
        <v>12.88</v>
      </c>
      <c r="E383">
        <v>30.3</v>
      </c>
      <c r="F383">
        <v>1</v>
      </c>
      <c r="G383" t="s">
        <v>10</v>
      </c>
      <c r="H383">
        <v>6</v>
      </c>
      <c r="I383">
        <v>69849</v>
      </c>
      <c r="J383">
        <v>578</v>
      </c>
      <c r="K383" t="str" cm="1">
        <f t="array" ref="K383">_xlfn.IFS(J383&lt;600,"520-599",J383&lt;650,"600-649",J383&lt;700,"650-699",J383&lt;750,"700-749",TRUE,"750+")</f>
        <v>520-599</v>
      </c>
      <c r="L383" t="str" cm="1">
        <f t="array" ref="L383">_xlfn.IFS(E383&lt;20,"1. Under 20",E383&lt;30,"2. 20-29",E383&lt;40,"3. 30-39",E383&lt;50,"4. 40-49",E383&lt;60,"5. 50-59",E383&lt;70,"6. 60-69",E383&lt;80,"7. 70-79",TRUE,"8. 80+")</f>
        <v>3. 30-39</v>
      </c>
      <c r="M383" t="str">
        <f t="shared" si="5"/>
        <v>2+ years</v>
      </c>
    </row>
    <row r="384" spans="1:13" x14ac:dyDescent="0.25">
      <c r="A384" t="s">
        <v>397</v>
      </c>
      <c r="B384" t="s">
        <v>4</v>
      </c>
      <c r="C384">
        <v>21000</v>
      </c>
      <c r="D384">
        <v>9.4499999999999993</v>
      </c>
      <c r="E384">
        <v>121.8</v>
      </c>
      <c r="F384">
        <v>0</v>
      </c>
      <c r="G384" t="s">
        <v>2</v>
      </c>
      <c r="H384">
        <v>16</v>
      </c>
      <c r="I384">
        <v>27000</v>
      </c>
      <c r="J384">
        <v>674</v>
      </c>
      <c r="K384" t="str" cm="1">
        <f t="array" ref="K384">_xlfn.IFS(J384&lt;600,"520-599",J384&lt;650,"600-649",J384&lt;700,"650-699",J384&lt;750,"700-749",TRUE,"750+")</f>
        <v>650-699</v>
      </c>
      <c r="L384" t="str" cm="1">
        <f t="array" ref="L384">_xlfn.IFS(E384&lt;20,"1. Under 20",E384&lt;30,"2. 20-29",E384&lt;40,"3. 30-39",E384&lt;50,"4. 40-49",E384&lt;60,"5. 50-59",E384&lt;70,"6. 60-69",E384&lt;80,"7. 70-79",TRUE,"8. 80+")</f>
        <v>8. 80+</v>
      </c>
      <c r="M384" t="str">
        <f t="shared" si="5"/>
        <v>2+ years</v>
      </c>
    </row>
    <row r="385" spans="1:13" x14ac:dyDescent="0.25">
      <c r="A385" t="s">
        <v>398</v>
      </c>
      <c r="B385" t="s">
        <v>26</v>
      </c>
      <c r="C385">
        <v>22800</v>
      </c>
      <c r="D385">
        <v>10.199999999999999</v>
      </c>
      <c r="E385">
        <v>37.200000000000003</v>
      </c>
      <c r="F385">
        <v>0</v>
      </c>
      <c r="G385" t="s">
        <v>7</v>
      </c>
      <c r="H385">
        <v>4</v>
      </c>
      <c r="I385">
        <v>32850</v>
      </c>
      <c r="J385">
        <v>628</v>
      </c>
      <c r="K385" t="str" cm="1">
        <f t="array" ref="K385">_xlfn.IFS(J385&lt;600,"520-599",J385&lt;650,"600-649",J385&lt;700,"650-699",J385&lt;750,"700-749",TRUE,"750+")</f>
        <v>600-649</v>
      </c>
      <c r="L385" t="str" cm="1">
        <f t="array" ref="L385">_xlfn.IFS(E385&lt;20,"1. Under 20",E385&lt;30,"2. 20-29",E385&lt;40,"3. 30-39",E385&lt;50,"4. 40-49",E385&lt;60,"5. 50-59",E385&lt;70,"6. 60-69",E385&lt;80,"7. 70-79",TRUE,"8. 80+")</f>
        <v>3. 30-39</v>
      </c>
      <c r="M385" t="str">
        <f t="shared" si="5"/>
        <v>2+ years</v>
      </c>
    </row>
    <row r="386" spans="1:13" x14ac:dyDescent="0.25">
      <c r="A386" t="s">
        <v>399</v>
      </c>
      <c r="B386" t="s">
        <v>9</v>
      </c>
      <c r="C386">
        <v>13000</v>
      </c>
      <c r="D386">
        <v>11.03</v>
      </c>
      <c r="E386">
        <v>16.3</v>
      </c>
      <c r="F386">
        <v>0</v>
      </c>
      <c r="G386" t="s">
        <v>7</v>
      </c>
      <c r="H386">
        <v>14</v>
      </c>
      <c r="I386">
        <v>74791</v>
      </c>
      <c r="J386">
        <v>641</v>
      </c>
      <c r="K386" t="str" cm="1">
        <f t="array" ref="K386">_xlfn.IFS(J386&lt;600,"520-599",J386&lt;650,"600-649",J386&lt;700,"650-699",J386&lt;750,"700-749",TRUE,"750+")</f>
        <v>600-649</v>
      </c>
      <c r="L386" t="str" cm="1">
        <f t="array" ref="L386">_xlfn.IFS(E386&lt;20,"1. Under 20",E386&lt;30,"2. 20-29",E386&lt;40,"3. 30-39",E386&lt;50,"4. 40-49",E386&lt;60,"5. 50-59",E386&lt;70,"6. 60-69",E386&lt;80,"7. 70-79",TRUE,"8. 80+")</f>
        <v>1. Under 20</v>
      </c>
      <c r="M386" t="str">
        <f t="shared" si="5"/>
        <v>2+ years</v>
      </c>
    </row>
    <row r="387" spans="1:13" x14ac:dyDescent="0.25">
      <c r="A387" t="s">
        <v>400</v>
      </c>
      <c r="B387" t="s">
        <v>19</v>
      </c>
      <c r="C387">
        <v>35400</v>
      </c>
      <c r="D387">
        <v>12.36</v>
      </c>
      <c r="E387">
        <v>36.299999999999997</v>
      </c>
      <c r="F387">
        <v>0</v>
      </c>
      <c r="G387" t="s">
        <v>7</v>
      </c>
      <c r="H387">
        <v>14</v>
      </c>
      <c r="I387">
        <v>74791</v>
      </c>
      <c r="J387">
        <v>641</v>
      </c>
      <c r="K387" t="str" cm="1">
        <f t="array" ref="K387">_xlfn.IFS(J387&lt;600,"520-599",J387&lt;650,"600-649",J387&lt;700,"650-699",J387&lt;750,"700-749",TRUE,"750+")</f>
        <v>600-649</v>
      </c>
      <c r="L387" t="str" cm="1">
        <f t="array" ref="L387">_xlfn.IFS(E387&lt;20,"1. Under 20",E387&lt;30,"2. 20-29",E387&lt;40,"3. 30-39",E387&lt;50,"4. 40-49",E387&lt;60,"5. 50-59",E387&lt;70,"6. 60-69",E387&lt;80,"7. 70-79",TRUE,"8. 80+")</f>
        <v>3. 30-39</v>
      </c>
      <c r="M387" t="str">
        <f t="shared" ref="M387:M450" si="6">IF(H387&lt;2,"Under 2 years","2+ years")</f>
        <v>2+ years</v>
      </c>
    </row>
    <row r="388" spans="1:13" x14ac:dyDescent="0.25">
      <c r="A388" t="s">
        <v>401</v>
      </c>
      <c r="B388" t="s">
        <v>1</v>
      </c>
      <c r="C388">
        <v>5800</v>
      </c>
      <c r="D388">
        <v>14.02</v>
      </c>
      <c r="E388">
        <v>28.6</v>
      </c>
      <c r="F388">
        <v>1</v>
      </c>
      <c r="G388" t="s">
        <v>2</v>
      </c>
      <c r="H388">
        <v>20</v>
      </c>
      <c r="I388">
        <v>57272</v>
      </c>
      <c r="J388">
        <v>640</v>
      </c>
      <c r="K388" t="str" cm="1">
        <f t="array" ref="K388">_xlfn.IFS(J388&lt;600,"520-599",J388&lt;650,"600-649",J388&lt;700,"650-699",J388&lt;750,"700-749",TRUE,"750+")</f>
        <v>600-649</v>
      </c>
      <c r="L388" t="str" cm="1">
        <f t="array" ref="L388">_xlfn.IFS(E388&lt;20,"1. Under 20",E388&lt;30,"2. 20-29",E388&lt;40,"3. 30-39",E388&lt;50,"4. 40-49",E388&lt;60,"5. 50-59",E388&lt;70,"6. 60-69",E388&lt;80,"7. 70-79",TRUE,"8. 80+")</f>
        <v>2. 20-29</v>
      </c>
      <c r="M388" t="str">
        <f t="shared" si="6"/>
        <v>2+ years</v>
      </c>
    </row>
    <row r="389" spans="1:13" x14ac:dyDescent="0.25">
      <c r="A389" t="s">
        <v>402</v>
      </c>
      <c r="B389" t="s">
        <v>19</v>
      </c>
      <c r="C389">
        <v>4200</v>
      </c>
      <c r="D389">
        <v>11.24</v>
      </c>
      <c r="E389">
        <v>44.9</v>
      </c>
      <c r="F389">
        <v>1</v>
      </c>
      <c r="G389" t="s">
        <v>7</v>
      </c>
      <c r="H389">
        <v>1</v>
      </c>
      <c r="I389">
        <v>51267</v>
      </c>
      <c r="J389">
        <v>619</v>
      </c>
      <c r="K389" t="str" cm="1">
        <f t="array" ref="K389">_xlfn.IFS(J389&lt;600,"520-599",J389&lt;650,"600-649",J389&lt;700,"650-699",J389&lt;750,"700-749",TRUE,"750+")</f>
        <v>600-649</v>
      </c>
      <c r="L389" t="str" cm="1">
        <f t="array" ref="L389">_xlfn.IFS(E389&lt;20,"1. Under 20",E389&lt;30,"2. 20-29",E389&lt;40,"3. 30-39",E389&lt;50,"4. 40-49",E389&lt;60,"5. 50-59",E389&lt;70,"6. 60-69",E389&lt;80,"7. 70-79",TRUE,"8. 80+")</f>
        <v>4. 40-49</v>
      </c>
      <c r="M389" t="str">
        <f t="shared" si="6"/>
        <v>Under 2 years</v>
      </c>
    </row>
    <row r="390" spans="1:13" x14ac:dyDescent="0.25">
      <c r="A390" t="s">
        <v>403</v>
      </c>
      <c r="B390" t="s">
        <v>26</v>
      </c>
      <c r="C390">
        <v>10200</v>
      </c>
      <c r="D390">
        <v>14.52</v>
      </c>
      <c r="E390">
        <v>49</v>
      </c>
      <c r="F390">
        <v>1</v>
      </c>
      <c r="G390" t="s">
        <v>7</v>
      </c>
      <c r="H390">
        <v>1</v>
      </c>
      <c r="I390">
        <v>51267</v>
      </c>
      <c r="J390">
        <v>619</v>
      </c>
      <c r="K390" t="str" cm="1">
        <f t="array" ref="K390">_xlfn.IFS(J390&lt;600,"520-599",J390&lt;650,"600-649",J390&lt;700,"650-699",J390&lt;750,"700-749",TRUE,"750+")</f>
        <v>600-649</v>
      </c>
      <c r="L390" t="str" cm="1">
        <f t="array" ref="L390">_xlfn.IFS(E390&lt;20,"1. Under 20",E390&lt;30,"2. 20-29",E390&lt;40,"3. 30-39",E390&lt;50,"4. 40-49",E390&lt;60,"5. 50-59",E390&lt;70,"6. 60-69",E390&lt;80,"7. 70-79",TRUE,"8. 80+")</f>
        <v>4. 40-49</v>
      </c>
      <c r="M390" t="str">
        <f t="shared" si="6"/>
        <v>Under 2 years</v>
      </c>
    </row>
    <row r="391" spans="1:13" x14ac:dyDescent="0.25">
      <c r="A391" t="s">
        <v>404</v>
      </c>
      <c r="B391" t="s">
        <v>13</v>
      </c>
      <c r="C391">
        <v>8200</v>
      </c>
      <c r="D391">
        <v>12.25</v>
      </c>
      <c r="E391">
        <v>16.7</v>
      </c>
      <c r="F391">
        <v>0</v>
      </c>
      <c r="G391" t="s">
        <v>7</v>
      </c>
      <c r="H391">
        <v>0</v>
      </c>
      <c r="I391">
        <v>50342</v>
      </c>
      <c r="J391">
        <v>592</v>
      </c>
      <c r="K391" t="str" cm="1">
        <f t="array" ref="K391">_xlfn.IFS(J391&lt;600,"520-599",J391&lt;650,"600-649",J391&lt;700,"650-699",J391&lt;750,"700-749",TRUE,"750+")</f>
        <v>520-599</v>
      </c>
      <c r="L391" t="str" cm="1">
        <f t="array" ref="L391">_xlfn.IFS(E391&lt;20,"1. Under 20",E391&lt;30,"2. 20-29",E391&lt;40,"3. 30-39",E391&lt;50,"4. 40-49",E391&lt;60,"5. 50-59",E391&lt;70,"6. 60-69",E391&lt;80,"7. 70-79",TRUE,"8. 80+")</f>
        <v>1. Under 20</v>
      </c>
      <c r="M391" t="str">
        <f t="shared" si="6"/>
        <v>Under 2 years</v>
      </c>
    </row>
    <row r="392" spans="1:13" x14ac:dyDescent="0.25">
      <c r="A392" t="s">
        <v>405</v>
      </c>
      <c r="B392" t="s">
        <v>4</v>
      </c>
      <c r="C392">
        <v>4900</v>
      </c>
      <c r="D392">
        <v>9.18</v>
      </c>
      <c r="E392">
        <v>59</v>
      </c>
      <c r="F392">
        <v>0</v>
      </c>
      <c r="G392" t="s">
        <v>23</v>
      </c>
      <c r="H392">
        <v>18</v>
      </c>
      <c r="I392">
        <v>44951</v>
      </c>
      <c r="J392">
        <v>828</v>
      </c>
      <c r="K392" t="str" cm="1">
        <f t="array" ref="K392">_xlfn.IFS(J392&lt;600,"520-599",J392&lt;650,"600-649",J392&lt;700,"650-699",J392&lt;750,"700-749",TRUE,"750+")</f>
        <v>750+</v>
      </c>
      <c r="L392" t="str" cm="1">
        <f t="array" ref="L392">_xlfn.IFS(E392&lt;20,"1. Under 20",E392&lt;30,"2. 20-29",E392&lt;40,"3. 30-39",E392&lt;50,"4. 40-49",E392&lt;60,"5. 50-59",E392&lt;70,"6. 60-69",E392&lt;80,"7. 70-79",TRUE,"8. 80+")</f>
        <v>5. 50-59</v>
      </c>
      <c r="M392" t="str">
        <f t="shared" si="6"/>
        <v>2+ years</v>
      </c>
    </row>
    <row r="393" spans="1:13" x14ac:dyDescent="0.25">
      <c r="A393" t="s">
        <v>406</v>
      </c>
      <c r="B393" t="s">
        <v>9</v>
      </c>
      <c r="C393">
        <v>30600</v>
      </c>
      <c r="D393">
        <v>9.93</v>
      </c>
      <c r="E393">
        <v>100.4</v>
      </c>
      <c r="F393">
        <v>1</v>
      </c>
      <c r="G393" t="s">
        <v>7</v>
      </c>
      <c r="H393">
        <v>1</v>
      </c>
      <c r="I393">
        <v>65650</v>
      </c>
      <c r="J393">
        <v>704</v>
      </c>
      <c r="K393" t="str" cm="1">
        <f t="array" ref="K393">_xlfn.IFS(J393&lt;600,"520-599",J393&lt;650,"600-649",J393&lt;700,"650-699",J393&lt;750,"700-749",TRUE,"750+")</f>
        <v>700-749</v>
      </c>
      <c r="L393" t="str" cm="1">
        <f t="array" ref="L393">_xlfn.IFS(E393&lt;20,"1. Under 20",E393&lt;30,"2. 20-29",E393&lt;40,"3. 30-39",E393&lt;50,"4. 40-49",E393&lt;60,"5. 50-59",E393&lt;70,"6. 60-69",E393&lt;80,"7. 70-79",TRUE,"8. 80+")</f>
        <v>8. 80+</v>
      </c>
      <c r="M393" t="str">
        <f t="shared" si="6"/>
        <v>Under 2 years</v>
      </c>
    </row>
    <row r="394" spans="1:13" x14ac:dyDescent="0.25">
      <c r="A394" t="s">
        <v>407</v>
      </c>
      <c r="B394" t="s">
        <v>6</v>
      </c>
      <c r="C394">
        <v>20000</v>
      </c>
      <c r="D394">
        <v>12.16</v>
      </c>
      <c r="E394">
        <v>30.1</v>
      </c>
      <c r="F394">
        <v>0</v>
      </c>
      <c r="G394" t="s">
        <v>7</v>
      </c>
      <c r="H394">
        <v>5</v>
      </c>
      <c r="I394">
        <v>57129</v>
      </c>
      <c r="J394">
        <v>748</v>
      </c>
      <c r="K394" t="str" cm="1">
        <f t="array" ref="K394">_xlfn.IFS(J394&lt;600,"520-599",J394&lt;650,"600-649",J394&lt;700,"650-699",J394&lt;750,"700-749",TRUE,"750+")</f>
        <v>700-749</v>
      </c>
      <c r="L394" t="str" cm="1">
        <f t="array" ref="L394">_xlfn.IFS(E394&lt;20,"1. Under 20",E394&lt;30,"2. 20-29",E394&lt;40,"3. 30-39",E394&lt;50,"4. 40-49",E394&lt;60,"5. 50-59",E394&lt;70,"6. 60-69",E394&lt;80,"7. 70-79",TRUE,"8. 80+")</f>
        <v>3. 30-39</v>
      </c>
      <c r="M394" t="str">
        <f t="shared" si="6"/>
        <v>2+ years</v>
      </c>
    </row>
    <row r="395" spans="1:13" x14ac:dyDescent="0.25">
      <c r="A395" t="s">
        <v>408</v>
      </c>
      <c r="B395" t="s">
        <v>26</v>
      </c>
      <c r="C395">
        <v>6100</v>
      </c>
      <c r="D395">
        <v>10.74</v>
      </c>
      <c r="E395">
        <v>47.2</v>
      </c>
      <c r="F395">
        <v>1</v>
      </c>
      <c r="G395" t="s">
        <v>23</v>
      </c>
      <c r="H395">
        <v>7</v>
      </c>
      <c r="I395">
        <v>17078</v>
      </c>
      <c r="J395">
        <v>671</v>
      </c>
      <c r="K395" t="str" cm="1">
        <f t="array" ref="K395">_xlfn.IFS(J395&lt;600,"520-599",J395&lt;650,"600-649",J395&lt;700,"650-699",J395&lt;750,"700-749",TRUE,"750+")</f>
        <v>650-699</v>
      </c>
      <c r="L395" t="str" cm="1">
        <f t="array" ref="L395">_xlfn.IFS(E395&lt;20,"1. Under 20",E395&lt;30,"2. 20-29",E395&lt;40,"3. 30-39",E395&lt;50,"4. 40-49",E395&lt;60,"5. 50-59",E395&lt;70,"6. 60-69",E395&lt;80,"7. 70-79",TRUE,"8. 80+")</f>
        <v>4. 40-49</v>
      </c>
      <c r="M395" t="str">
        <f t="shared" si="6"/>
        <v>2+ years</v>
      </c>
    </row>
    <row r="396" spans="1:13" x14ac:dyDescent="0.25">
      <c r="A396" t="s">
        <v>409</v>
      </c>
      <c r="B396" t="s">
        <v>13</v>
      </c>
      <c r="C396">
        <v>24900</v>
      </c>
      <c r="D396">
        <v>10.17</v>
      </c>
      <c r="E396">
        <v>24</v>
      </c>
      <c r="F396">
        <v>0</v>
      </c>
      <c r="G396" t="s">
        <v>7</v>
      </c>
      <c r="H396">
        <v>7</v>
      </c>
      <c r="I396">
        <v>53539</v>
      </c>
      <c r="J396">
        <v>799</v>
      </c>
      <c r="K396" t="str" cm="1">
        <f t="array" ref="K396">_xlfn.IFS(J396&lt;600,"520-599",J396&lt;650,"600-649",J396&lt;700,"650-699",J396&lt;750,"700-749",TRUE,"750+")</f>
        <v>750+</v>
      </c>
      <c r="L396" t="str" cm="1">
        <f t="array" ref="L396">_xlfn.IFS(E396&lt;20,"1. Under 20",E396&lt;30,"2. 20-29",E396&lt;40,"3. 30-39",E396&lt;50,"4. 40-49",E396&lt;60,"5. 50-59",E396&lt;70,"6. 60-69",E396&lt;80,"7. 70-79",TRUE,"8. 80+")</f>
        <v>2. 20-29</v>
      </c>
      <c r="M396" t="str">
        <f t="shared" si="6"/>
        <v>2+ years</v>
      </c>
    </row>
    <row r="397" spans="1:13" x14ac:dyDescent="0.25">
      <c r="A397" t="s">
        <v>410</v>
      </c>
      <c r="B397" t="s">
        <v>21</v>
      </c>
      <c r="C397">
        <v>19300</v>
      </c>
      <c r="D397">
        <v>10.17</v>
      </c>
      <c r="E397">
        <v>44</v>
      </c>
      <c r="F397">
        <v>0</v>
      </c>
      <c r="G397" t="s">
        <v>7</v>
      </c>
      <c r="H397">
        <v>7</v>
      </c>
      <c r="I397">
        <v>53539</v>
      </c>
      <c r="J397">
        <v>799</v>
      </c>
      <c r="K397" t="str" cm="1">
        <f t="array" ref="K397">_xlfn.IFS(J397&lt;600,"520-599",J397&lt;650,"600-649",J397&lt;700,"650-699",J397&lt;750,"700-749",TRUE,"750+")</f>
        <v>750+</v>
      </c>
      <c r="L397" t="str" cm="1">
        <f t="array" ref="L397">_xlfn.IFS(E397&lt;20,"1. Under 20",E397&lt;30,"2. 20-29",E397&lt;40,"3. 30-39",E397&lt;50,"4. 40-49",E397&lt;60,"5. 50-59",E397&lt;70,"6. 60-69",E397&lt;80,"7. 70-79",TRUE,"8. 80+")</f>
        <v>4. 40-49</v>
      </c>
      <c r="M397" t="str">
        <f t="shared" si="6"/>
        <v>2+ years</v>
      </c>
    </row>
    <row r="398" spans="1:13" x14ac:dyDescent="0.25">
      <c r="A398" t="s">
        <v>411</v>
      </c>
      <c r="B398" t="s">
        <v>26</v>
      </c>
      <c r="C398">
        <v>33800</v>
      </c>
      <c r="D398">
        <v>6.85</v>
      </c>
      <c r="E398">
        <v>36.4</v>
      </c>
      <c r="F398">
        <v>0</v>
      </c>
      <c r="G398" t="s">
        <v>7</v>
      </c>
      <c r="H398">
        <v>11</v>
      </c>
      <c r="I398">
        <v>101319</v>
      </c>
      <c r="J398">
        <v>793</v>
      </c>
      <c r="K398" t="str" cm="1">
        <f t="array" ref="K398">_xlfn.IFS(J398&lt;600,"520-599",J398&lt;650,"600-649",J398&lt;700,"650-699",J398&lt;750,"700-749",TRUE,"750+")</f>
        <v>750+</v>
      </c>
      <c r="L398" t="str" cm="1">
        <f t="array" ref="L398">_xlfn.IFS(E398&lt;20,"1. Under 20",E398&lt;30,"2. 20-29",E398&lt;40,"3. 30-39",E398&lt;50,"4. 40-49",E398&lt;60,"5. 50-59",E398&lt;70,"6. 60-69",E398&lt;80,"7. 70-79",TRUE,"8. 80+")</f>
        <v>3. 30-39</v>
      </c>
      <c r="M398" t="str">
        <f t="shared" si="6"/>
        <v>2+ years</v>
      </c>
    </row>
    <row r="399" spans="1:13" x14ac:dyDescent="0.25">
      <c r="A399" t="s">
        <v>412</v>
      </c>
      <c r="B399" t="s">
        <v>17</v>
      </c>
      <c r="C399">
        <v>11100</v>
      </c>
      <c r="D399">
        <v>9.5299999999999994</v>
      </c>
      <c r="E399">
        <v>48.1</v>
      </c>
      <c r="F399">
        <v>1</v>
      </c>
      <c r="G399" t="s">
        <v>7</v>
      </c>
      <c r="H399">
        <v>0</v>
      </c>
      <c r="I399">
        <v>70784</v>
      </c>
      <c r="J399">
        <v>678</v>
      </c>
      <c r="K399" t="str" cm="1">
        <f t="array" ref="K399">_xlfn.IFS(J399&lt;600,"520-599",J399&lt;650,"600-649",J399&lt;700,"650-699",J399&lt;750,"700-749",TRUE,"750+")</f>
        <v>650-699</v>
      </c>
      <c r="L399" t="str" cm="1">
        <f t="array" ref="L399">_xlfn.IFS(E399&lt;20,"1. Under 20",E399&lt;30,"2. 20-29",E399&lt;40,"3. 30-39",E399&lt;50,"4. 40-49",E399&lt;60,"5. 50-59",E399&lt;70,"6. 60-69",E399&lt;80,"7. 70-79",TRUE,"8. 80+")</f>
        <v>4. 40-49</v>
      </c>
      <c r="M399" t="str">
        <f t="shared" si="6"/>
        <v>Under 2 years</v>
      </c>
    </row>
    <row r="400" spans="1:13" x14ac:dyDescent="0.25">
      <c r="A400" t="s">
        <v>413</v>
      </c>
      <c r="B400" t="s">
        <v>6</v>
      </c>
      <c r="C400">
        <v>20400</v>
      </c>
      <c r="D400">
        <v>12.24</v>
      </c>
      <c r="E400">
        <v>60.2</v>
      </c>
      <c r="F400">
        <v>1</v>
      </c>
      <c r="G400" t="s">
        <v>7</v>
      </c>
      <c r="H400">
        <v>1</v>
      </c>
      <c r="I400">
        <v>135142</v>
      </c>
      <c r="J400">
        <v>686</v>
      </c>
      <c r="K400" t="str" cm="1">
        <f t="array" ref="K400">_xlfn.IFS(J400&lt;600,"520-599",J400&lt;650,"600-649",J400&lt;700,"650-699",J400&lt;750,"700-749",TRUE,"750+")</f>
        <v>650-699</v>
      </c>
      <c r="L400" t="str" cm="1">
        <f t="array" ref="L400">_xlfn.IFS(E400&lt;20,"1. Under 20",E400&lt;30,"2. 20-29",E400&lt;40,"3. 30-39",E400&lt;50,"4. 40-49",E400&lt;60,"5. 50-59",E400&lt;70,"6. 60-69",E400&lt;80,"7. 70-79",TRUE,"8. 80+")</f>
        <v>6. 60-69</v>
      </c>
      <c r="M400" t="str">
        <f t="shared" si="6"/>
        <v>Under 2 years</v>
      </c>
    </row>
    <row r="401" spans="1:13" x14ac:dyDescent="0.25">
      <c r="A401" t="s">
        <v>414</v>
      </c>
      <c r="B401" t="s">
        <v>13</v>
      </c>
      <c r="C401">
        <v>14900</v>
      </c>
      <c r="D401">
        <v>14.15</v>
      </c>
      <c r="E401">
        <v>32</v>
      </c>
      <c r="F401">
        <v>0</v>
      </c>
      <c r="G401" t="s">
        <v>10</v>
      </c>
      <c r="H401">
        <v>7</v>
      </c>
      <c r="I401">
        <v>94525</v>
      </c>
      <c r="J401">
        <v>630</v>
      </c>
      <c r="K401" t="str" cm="1">
        <f t="array" ref="K401">_xlfn.IFS(J401&lt;600,"520-599",J401&lt;650,"600-649",J401&lt;700,"650-699",J401&lt;750,"700-749",TRUE,"750+")</f>
        <v>600-649</v>
      </c>
      <c r="L401" t="str" cm="1">
        <f t="array" ref="L401">_xlfn.IFS(E401&lt;20,"1. Under 20",E401&lt;30,"2. 20-29",E401&lt;40,"3. 30-39",E401&lt;50,"4. 40-49",E401&lt;60,"5. 50-59",E401&lt;70,"6. 60-69",E401&lt;80,"7. 70-79",TRUE,"8. 80+")</f>
        <v>3. 30-39</v>
      </c>
      <c r="M401" t="str">
        <f t="shared" si="6"/>
        <v>2+ years</v>
      </c>
    </row>
    <row r="402" spans="1:13" x14ac:dyDescent="0.25">
      <c r="A402" t="s">
        <v>415</v>
      </c>
      <c r="B402" t="s">
        <v>17</v>
      </c>
      <c r="C402">
        <v>15500</v>
      </c>
      <c r="D402">
        <v>8.4499999999999993</v>
      </c>
      <c r="E402">
        <v>52.3</v>
      </c>
      <c r="F402">
        <v>0</v>
      </c>
      <c r="G402" t="s">
        <v>2</v>
      </c>
      <c r="H402">
        <v>9</v>
      </c>
      <c r="I402">
        <v>55754</v>
      </c>
      <c r="J402">
        <v>818</v>
      </c>
      <c r="K402" t="str" cm="1">
        <f t="array" ref="K402">_xlfn.IFS(J402&lt;600,"520-599",J402&lt;650,"600-649",J402&lt;700,"650-699",J402&lt;750,"700-749",TRUE,"750+")</f>
        <v>750+</v>
      </c>
      <c r="L402" t="str" cm="1">
        <f t="array" ref="L402">_xlfn.IFS(E402&lt;20,"1. Under 20",E402&lt;30,"2. 20-29",E402&lt;40,"3. 30-39",E402&lt;50,"4. 40-49",E402&lt;60,"5. 50-59",E402&lt;70,"6. 60-69",E402&lt;80,"7. 70-79",TRUE,"8. 80+")</f>
        <v>5. 50-59</v>
      </c>
      <c r="M402" t="str">
        <f t="shared" si="6"/>
        <v>2+ years</v>
      </c>
    </row>
    <row r="403" spans="1:13" x14ac:dyDescent="0.25">
      <c r="A403" t="s">
        <v>416</v>
      </c>
      <c r="B403" t="s">
        <v>19</v>
      </c>
      <c r="C403">
        <v>20100</v>
      </c>
      <c r="D403">
        <v>12.95</v>
      </c>
      <c r="E403">
        <v>55.1</v>
      </c>
      <c r="F403">
        <v>1</v>
      </c>
      <c r="G403" t="s">
        <v>7</v>
      </c>
      <c r="H403">
        <v>14</v>
      </c>
      <c r="I403">
        <v>43022</v>
      </c>
      <c r="J403">
        <v>558</v>
      </c>
      <c r="K403" t="str" cm="1">
        <f t="array" ref="K403">_xlfn.IFS(J403&lt;600,"520-599",J403&lt;650,"600-649",J403&lt;700,"650-699",J403&lt;750,"700-749",TRUE,"750+")</f>
        <v>520-599</v>
      </c>
      <c r="L403" t="str" cm="1">
        <f t="array" ref="L403">_xlfn.IFS(E403&lt;20,"1. Under 20",E403&lt;30,"2. 20-29",E403&lt;40,"3. 30-39",E403&lt;50,"4. 40-49",E403&lt;60,"5. 50-59",E403&lt;70,"6. 60-69",E403&lt;80,"7. 70-79",TRUE,"8. 80+")</f>
        <v>5. 50-59</v>
      </c>
      <c r="M403" t="str">
        <f t="shared" si="6"/>
        <v>2+ years</v>
      </c>
    </row>
    <row r="404" spans="1:13" x14ac:dyDescent="0.25">
      <c r="A404" t="s">
        <v>417</v>
      </c>
      <c r="B404" t="s">
        <v>19</v>
      </c>
      <c r="C404">
        <v>34700</v>
      </c>
      <c r="D404">
        <v>10.54</v>
      </c>
      <c r="E404">
        <v>29.1</v>
      </c>
      <c r="F404">
        <v>0</v>
      </c>
      <c r="G404" t="s">
        <v>7</v>
      </c>
      <c r="H404">
        <v>3</v>
      </c>
      <c r="I404">
        <v>62522</v>
      </c>
      <c r="J404">
        <v>700</v>
      </c>
      <c r="K404" t="str" cm="1">
        <f t="array" ref="K404">_xlfn.IFS(J404&lt;600,"520-599",J404&lt;650,"600-649",J404&lt;700,"650-699",J404&lt;750,"700-749",TRUE,"750+")</f>
        <v>700-749</v>
      </c>
      <c r="L404" t="str" cm="1">
        <f t="array" ref="L404">_xlfn.IFS(E404&lt;20,"1. Under 20",E404&lt;30,"2. 20-29",E404&lt;40,"3. 30-39",E404&lt;50,"4. 40-49",E404&lt;60,"5. 50-59",E404&lt;70,"6. 60-69",E404&lt;80,"7. 70-79",TRUE,"8. 80+")</f>
        <v>2. 20-29</v>
      </c>
      <c r="M404" t="str">
        <f t="shared" si="6"/>
        <v>2+ years</v>
      </c>
    </row>
    <row r="405" spans="1:13" x14ac:dyDescent="0.25">
      <c r="A405" t="s">
        <v>418</v>
      </c>
      <c r="B405" t="s">
        <v>9</v>
      </c>
      <c r="C405">
        <v>3400</v>
      </c>
      <c r="D405">
        <v>10.039999999999999</v>
      </c>
      <c r="E405">
        <v>13.2</v>
      </c>
      <c r="F405">
        <v>1</v>
      </c>
      <c r="G405" t="s">
        <v>10</v>
      </c>
      <c r="H405">
        <v>6</v>
      </c>
      <c r="I405">
        <v>137015</v>
      </c>
      <c r="J405">
        <v>741</v>
      </c>
      <c r="K405" t="str" cm="1">
        <f t="array" ref="K405">_xlfn.IFS(J405&lt;600,"520-599",J405&lt;650,"600-649",J405&lt;700,"650-699",J405&lt;750,"700-749",TRUE,"750+")</f>
        <v>700-749</v>
      </c>
      <c r="L405" t="str" cm="1">
        <f t="array" ref="L405">_xlfn.IFS(E405&lt;20,"1. Under 20",E405&lt;30,"2. 20-29",E405&lt;40,"3. 30-39",E405&lt;50,"4. 40-49",E405&lt;60,"5. 50-59",E405&lt;70,"6. 60-69",E405&lt;80,"7. 70-79",TRUE,"8. 80+")</f>
        <v>1. Under 20</v>
      </c>
      <c r="M405" t="str">
        <f t="shared" si="6"/>
        <v>2+ years</v>
      </c>
    </row>
    <row r="406" spans="1:13" x14ac:dyDescent="0.25">
      <c r="A406" t="s">
        <v>419</v>
      </c>
      <c r="B406" t="s">
        <v>21</v>
      </c>
      <c r="C406">
        <v>39900</v>
      </c>
      <c r="D406">
        <v>7.25</v>
      </c>
      <c r="E406">
        <v>77.599999999999994</v>
      </c>
      <c r="F406">
        <v>0</v>
      </c>
      <c r="G406" t="s">
        <v>7</v>
      </c>
      <c r="H406">
        <v>10</v>
      </c>
      <c r="I406">
        <v>109449</v>
      </c>
      <c r="J406">
        <v>794</v>
      </c>
      <c r="K406" t="str" cm="1">
        <f t="array" ref="K406">_xlfn.IFS(J406&lt;600,"520-599",J406&lt;650,"600-649",J406&lt;700,"650-699",J406&lt;750,"700-749",TRUE,"750+")</f>
        <v>750+</v>
      </c>
      <c r="L406" t="str" cm="1">
        <f t="array" ref="L406">_xlfn.IFS(E406&lt;20,"1. Under 20",E406&lt;30,"2. 20-29",E406&lt;40,"3. 30-39",E406&lt;50,"4. 40-49",E406&lt;60,"5. 50-59",E406&lt;70,"6. 60-69",E406&lt;80,"7. 70-79",TRUE,"8. 80+")</f>
        <v>7. 70-79</v>
      </c>
      <c r="M406" t="str">
        <f t="shared" si="6"/>
        <v>2+ years</v>
      </c>
    </row>
    <row r="407" spans="1:13" x14ac:dyDescent="0.25">
      <c r="A407" t="s">
        <v>420</v>
      </c>
      <c r="B407" t="s">
        <v>9</v>
      </c>
      <c r="C407">
        <v>24700</v>
      </c>
      <c r="D407">
        <v>12.46</v>
      </c>
      <c r="E407">
        <v>23.3</v>
      </c>
      <c r="F407">
        <v>0</v>
      </c>
      <c r="G407" t="s">
        <v>7</v>
      </c>
      <c r="H407">
        <v>24</v>
      </c>
      <c r="I407">
        <v>105131</v>
      </c>
      <c r="J407">
        <v>634</v>
      </c>
      <c r="K407" t="str" cm="1">
        <f t="array" ref="K407">_xlfn.IFS(J407&lt;600,"520-599",J407&lt;650,"600-649",J407&lt;700,"650-699",J407&lt;750,"700-749",TRUE,"750+")</f>
        <v>600-649</v>
      </c>
      <c r="L407" t="str" cm="1">
        <f t="array" ref="L407">_xlfn.IFS(E407&lt;20,"1. Under 20",E407&lt;30,"2. 20-29",E407&lt;40,"3. 30-39",E407&lt;50,"4. 40-49",E407&lt;60,"5. 50-59",E407&lt;70,"6. 60-69",E407&lt;80,"7. 70-79",TRUE,"8. 80+")</f>
        <v>2. 20-29</v>
      </c>
      <c r="M407" t="str">
        <f t="shared" si="6"/>
        <v>2+ years</v>
      </c>
    </row>
    <row r="408" spans="1:13" x14ac:dyDescent="0.25">
      <c r="A408" t="s">
        <v>421</v>
      </c>
      <c r="B408" t="s">
        <v>19</v>
      </c>
      <c r="C408">
        <v>33900</v>
      </c>
      <c r="D408">
        <v>12.49</v>
      </c>
      <c r="E408">
        <v>24.2</v>
      </c>
      <c r="F408">
        <v>0</v>
      </c>
      <c r="G408" t="s">
        <v>7</v>
      </c>
      <c r="H408">
        <v>24</v>
      </c>
      <c r="I408">
        <v>105131</v>
      </c>
      <c r="J408">
        <v>634</v>
      </c>
      <c r="K408" t="str" cm="1">
        <f t="array" ref="K408">_xlfn.IFS(J408&lt;600,"520-599",J408&lt;650,"600-649",J408&lt;700,"650-699",J408&lt;750,"700-749",TRUE,"750+")</f>
        <v>600-649</v>
      </c>
      <c r="L408" t="str" cm="1">
        <f t="array" ref="L408">_xlfn.IFS(E408&lt;20,"1. Under 20",E408&lt;30,"2. 20-29",E408&lt;40,"3. 30-39",E408&lt;50,"4. 40-49",E408&lt;60,"5. 50-59",E408&lt;70,"6. 60-69",E408&lt;80,"7. 70-79",TRUE,"8. 80+")</f>
        <v>2. 20-29</v>
      </c>
      <c r="M408" t="str">
        <f t="shared" si="6"/>
        <v>2+ years</v>
      </c>
    </row>
    <row r="409" spans="1:13" x14ac:dyDescent="0.25">
      <c r="A409" t="s">
        <v>422</v>
      </c>
      <c r="B409" t="s">
        <v>4</v>
      </c>
      <c r="C409">
        <v>44600</v>
      </c>
      <c r="D409">
        <v>6.46</v>
      </c>
      <c r="E409">
        <v>98.4</v>
      </c>
      <c r="F409">
        <v>0</v>
      </c>
      <c r="G409" t="s">
        <v>29</v>
      </c>
      <c r="H409">
        <v>0</v>
      </c>
      <c r="I409">
        <v>52919</v>
      </c>
      <c r="J409">
        <v>820</v>
      </c>
      <c r="K409" t="str" cm="1">
        <f t="array" ref="K409">_xlfn.IFS(J409&lt;600,"520-599",J409&lt;650,"600-649",J409&lt;700,"650-699",J409&lt;750,"700-749",TRUE,"750+")</f>
        <v>750+</v>
      </c>
      <c r="L409" t="str" cm="1">
        <f t="array" ref="L409">_xlfn.IFS(E409&lt;20,"1. Under 20",E409&lt;30,"2. 20-29",E409&lt;40,"3. 30-39",E409&lt;50,"4. 40-49",E409&lt;60,"5. 50-59",E409&lt;70,"6. 60-69",E409&lt;80,"7. 70-79",TRUE,"8. 80+")</f>
        <v>8. 80+</v>
      </c>
      <c r="M409" t="str">
        <f t="shared" si="6"/>
        <v>Under 2 years</v>
      </c>
    </row>
    <row r="410" spans="1:13" x14ac:dyDescent="0.25">
      <c r="A410" t="s">
        <v>423</v>
      </c>
      <c r="B410" t="s">
        <v>19</v>
      </c>
      <c r="C410">
        <v>25000</v>
      </c>
      <c r="D410">
        <v>8.91</v>
      </c>
      <c r="E410">
        <v>67.400000000000006</v>
      </c>
      <c r="F410">
        <v>1</v>
      </c>
      <c r="G410" t="s">
        <v>29</v>
      </c>
      <c r="H410">
        <v>0</v>
      </c>
      <c r="I410">
        <v>52919</v>
      </c>
      <c r="J410">
        <v>820</v>
      </c>
      <c r="K410" t="str" cm="1">
        <f t="array" ref="K410">_xlfn.IFS(J410&lt;600,"520-599",J410&lt;650,"600-649",J410&lt;700,"650-699",J410&lt;750,"700-749",TRUE,"750+")</f>
        <v>750+</v>
      </c>
      <c r="L410" t="str" cm="1">
        <f t="array" ref="L410">_xlfn.IFS(E410&lt;20,"1. Under 20",E410&lt;30,"2. 20-29",E410&lt;40,"3. 30-39",E410&lt;50,"4. 40-49",E410&lt;60,"5. 50-59",E410&lt;70,"6. 60-69",E410&lt;80,"7. 70-79",TRUE,"8. 80+")</f>
        <v>6. 60-69</v>
      </c>
      <c r="M410" t="str">
        <f t="shared" si="6"/>
        <v>Under 2 years</v>
      </c>
    </row>
    <row r="411" spans="1:13" x14ac:dyDescent="0.25">
      <c r="A411" t="s">
        <v>424</v>
      </c>
      <c r="B411" t="s">
        <v>13</v>
      </c>
      <c r="C411">
        <v>48500</v>
      </c>
      <c r="D411">
        <v>11.66</v>
      </c>
      <c r="E411">
        <v>75.900000000000006</v>
      </c>
      <c r="F411">
        <v>0</v>
      </c>
      <c r="G411" t="s">
        <v>7</v>
      </c>
      <c r="H411">
        <v>2</v>
      </c>
      <c r="I411">
        <v>72256</v>
      </c>
      <c r="J411">
        <v>704</v>
      </c>
      <c r="K411" t="str" cm="1">
        <f t="array" ref="K411">_xlfn.IFS(J411&lt;600,"520-599",J411&lt;650,"600-649",J411&lt;700,"650-699",J411&lt;750,"700-749",TRUE,"750+")</f>
        <v>700-749</v>
      </c>
      <c r="L411" t="str" cm="1">
        <f t="array" ref="L411">_xlfn.IFS(E411&lt;20,"1. Under 20",E411&lt;30,"2. 20-29",E411&lt;40,"3. 30-39",E411&lt;50,"4. 40-49",E411&lt;60,"5. 50-59",E411&lt;70,"6. 60-69",E411&lt;80,"7. 70-79",TRUE,"8. 80+")</f>
        <v>7. 70-79</v>
      </c>
      <c r="M411" t="str">
        <f t="shared" si="6"/>
        <v>2+ years</v>
      </c>
    </row>
    <row r="412" spans="1:13" x14ac:dyDescent="0.25">
      <c r="A412" t="s">
        <v>425</v>
      </c>
      <c r="B412" t="s">
        <v>4</v>
      </c>
      <c r="C412">
        <v>47200</v>
      </c>
      <c r="D412">
        <v>13</v>
      </c>
      <c r="E412">
        <v>21.4</v>
      </c>
      <c r="F412">
        <v>0</v>
      </c>
      <c r="G412" t="s">
        <v>2</v>
      </c>
      <c r="H412">
        <v>7</v>
      </c>
      <c r="I412">
        <v>117172</v>
      </c>
      <c r="J412">
        <v>716</v>
      </c>
      <c r="K412" t="str" cm="1">
        <f t="array" ref="K412">_xlfn.IFS(J412&lt;600,"520-599",J412&lt;650,"600-649",J412&lt;700,"650-699",J412&lt;750,"700-749",TRUE,"750+")</f>
        <v>700-749</v>
      </c>
      <c r="L412" t="str" cm="1">
        <f t="array" ref="L412">_xlfn.IFS(E412&lt;20,"1. Under 20",E412&lt;30,"2. 20-29",E412&lt;40,"3. 30-39",E412&lt;50,"4. 40-49",E412&lt;60,"5. 50-59",E412&lt;70,"6. 60-69",E412&lt;80,"7. 70-79",TRUE,"8. 80+")</f>
        <v>2. 20-29</v>
      </c>
      <c r="M412" t="str">
        <f t="shared" si="6"/>
        <v>2+ years</v>
      </c>
    </row>
    <row r="413" spans="1:13" x14ac:dyDescent="0.25">
      <c r="A413" t="s">
        <v>426</v>
      </c>
      <c r="B413" t="s">
        <v>6</v>
      </c>
      <c r="C413">
        <v>39700</v>
      </c>
      <c r="D413">
        <v>7.59</v>
      </c>
      <c r="E413">
        <v>65.400000000000006</v>
      </c>
      <c r="F413">
        <v>0</v>
      </c>
      <c r="G413" t="s">
        <v>2</v>
      </c>
      <c r="H413">
        <v>13</v>
      </c>
      <c r="I413">
        <v>58731</v>
      </c>
      <c r="J413">
        <v>754</v>
      </c>
      <c r="K413" t="str" cm="1">
        <f t="array" ref="K413">_xlfn.IFS(J413&lt;600,"520-599",J413&lt;650,"600-649",J413&lt;700,"650-699",J413&lt;750,"700-749",TRUE,"750+")</f>
        <v>750+</v>
      </c>
      <c r="L413" t="str" cm="1">
        <f t="array" ref="L413">_xlfn.IFS(E413&lt;20,"1. Under 20",E413&lt;30,"2. 20-29",E413&lt;40,"3. 30-39",E413&lt;50,"4. 40-49",E413&lt;60,"5. 50-59",E413&lt;70,"6. 60-69",E413&lt;80,"7. 70-79",TRUE,"8. 80+")</f>
        <v>6. 60-69</v>
      </c>
      <c r="M413" t="str">
        <f t="shared" si="6"/>
        <v>2+ years</v>
      </c>
    </row>
    <row r="414" spans="1:13" x14ac:dyDescent="0.25">
      <c r="A414" t="s">
        <v>427</v>
      </c>
      <c r="B414" t="s">
        <v>1</v>
      </c>
      <c r="C414">
        <v>17000</v>
      </c>
      <c r="D414">
        <v>8.58</v>
      </c>
      <c r="E414">
        <v>33.700000000000003</v>
      </c>
      <c r="F414">
        <v>0</v>
      </c>
      <c r="G414" t="s">
        <v>7</v>
      </c>
      <c r="H414">
        <v>20</v>
      </c>
      <c r="I414">
        <v>71191</v>
      </c>
      <c r="J414">
        <v>830</v>
      </c>
      <c r="K414" t="str" cm="1">
        <f t="array" ref="K414">_xlfn.IFS(J414&lt;600,"520-599",J414&lt;650,"600-649",J414&lt;700,"650-699",J414&lt;750,"700-749",TRUE,"750+")</f>
        <v>750+</v>
      </c>
      <c r="L414" t="str" cm="1">
        <f t="array" ref="L414">_xlfn.IFS(E414&lt;20,"1. Under 20",E414&lt;30,"2. 20-29",E414&lt;40,"3. 30-39",E414&lt;50,"4. 40-49",E414&lt;60,"5. 50-59",E414&lt;70,"6. 60-69",E414&lt;80,"7. 70-79",TRUE,"8. 80+")</f>
        <v>3. 30-39</v>
      </c>
      <c r="M414" t="str">
        <f t="shared" si="6"/>
        <v>2+ years</v>
      </c>
    </row>
    <row r="415" spans="1:13" x14ac:dyDescent="0.25">
      <c r="A415" t="s">
        <v>428</v>
      </c>
      <c r="B415" t="s">
        <v>17</v>
      </c>
      <c r="C415">
        <v>36400</v>
      </c>
      <c r="D415">
        <v>15.11</v>
      </c>
      <c r="E415">
        <v>37.6</v>
      </c>
      <c r="F415">
        <v>0</v>
      </c>
      <c r="G415" t="s">
        <v>7</v>
      </c>
      <c r="H415">
        <v>2</v>
      </c>
      <c r="I415">
        <v>73366</v>
      </c>
      <c r="J415">
        <v>572</v>
      </c>
      <c r="K415" t="str" cm="1">
        <f t="array" ref="K415">_xlfn.IFS(J415&lt;600,"520-599",J415&lt;650,"600-649",J415&lt;700,"650-699",J415&lt;750,"700-749",TRUE,"750+")</f>
        <v>520-599</v>
      </c>
      <c r="L415" t="str" cm="1">
        <f t="array" ref="L415">_xlfn.IFS(E415&lt;20,"1. Under 20",E415&lt;30,"2. 20-29",E415&lt;40,"3. 30-39",E415&lt;50,"4. 40-49",E415&lt;60,"5. 50-59",E415&lt;70,"6. 60-69",E415&lt;80,"7. 70-79",TRUE,"8. 80+")</f>
        <v>3. 30-39</v>
      </c>
      <c r="M415" t="str">
        <f t="shared" si="6"/>
        <v>2+ years</v>
      </c>
    </row>
    <row r="416" spans="1:13" x14ac:dyDescent="0.25">
      <c r="A416" t="s">
        <v>429</v>
      </c>
      <c r="B416" t="s">
        <v>1</v>
      </c>
      <c r="C416">
        <v>34200</v>
      </c>
      <c r="D416">
        <v>15.53</v>
      </c>
      <c r="E416">
        <v>73.900000000000006</v>
      </c>
      <c r="F416">
        <v>1</v>
      </c>
      <c r="G416" t="s">
        <v>29</v>
      </c>
      <c r="H416">
        <v>6</v>
      </c>
      <c r="I416">
        <v>42400</v>
      </c>
      <c r="J416">
        <v>545</v>
      </c>
      <c r="K416" t="str" cm="1">
        <f t="array" ref="K416">_xlfn.IFS(J416&lt;600,"520-599",J416&lt;650,"600-649",J416&lt;700,"650-699",J416&lt;750,"700-749",TRUE,"750+")</f>
        <v>520-599</v>
      </c>
      <c r="L416" t="str" cm="1">
        <f t="array" ref="L416">_xlfn.IFS(E416&lt;20,"1. Under 20",E416&lt;30,"2. 20-29",E416&lt;40,"3. 30-39",E416&lt;50,"4. 40-49",E416&lt;60,"5. 50-59",E416&lt;70,"6. 60-69",E416&lt;80,"7. 70-79",TRUE,"8. 80+")</f>
        <v>7. 70-79</v>
      </c>
      <c r="M416" t="str">
        <f t="shared" si="6"/>
        <v>2+ years</v>
      </c>
    </row>
    <row r="417" spans="1:13" x14ac:dyDescent="0.25">
      <c r="A417" t="s">
        <v>430</v>
      </c>
      <c r="B417" t="s">
        <v>26</v>
      </c>
      <c r="C417">
        <v>22100</v>
      </c>
      <c r="D417">
        <v>8.42</v>
      </c>
      <c r="E417">
        <v>47.8</v>
      </c>
      <c r="F417">
        <v>0</v>
      </c>
      <c r="G417" t="s">
        <v>7</v>
      </c>
      <c r="H417">
        <v>5</v>
      </c>
      <c r="I417">
        <v>29087</v>
      </c>
      <c r="J417">
        <v>808</v>
      </c>
      <c r="K417" t="str" cm="1">
        <f t="array" ref="K417">_xlfn.IFS(J417&lt;600,"520-599",J417&lt;650,"600-649",J417&lt;700,"650-699",J417&lt;750,"700-749",TRUE,"750+")</f>
        <v>750+</v>
      </c>
      <c r="L417" t="str" cm="1">
        <f t="array" ref="L417">_xlfn.IFS(E417&lt;20,"1. Under 20",E417&lt;30,"2. 20-29",E417&lt;40,"3. 30-39",E417&lt;50,"4. 40-49",E417&lt;60,"5. 50-59",E417&lt;70,"6. 60-69",E417&lt;80,"7. 70-79",TRUE,"8. 80+")</f>
        <v>4. 40-49</v>
      </c>
      <c r="M417" t="str">
        <f t="shared" si="6"/>
        <v>2+ years</v>
      </c>
    </row>
    <row r="418" spans="1:13" x14ac:dyDescent="0.25">
      <c r="A418" t="s">
        <v>431</v>
      </c>
      <c r="B418" t="s">
        <v>4</v>
      </c>
      <c r="C418">
        <v>9800</v>
      </c>
      <c r="D418">
        <v>7.99</v>
      </c>
      <c r="E418">
        <v>54.2</v>
      </c>
      <c r="F418">
        <v>1</v>
      </c>
      <c r="G418" t="s">
        <v>7</v>
      </c>
      <c r="H418">
        <v>5</v>
      </c>
      <c r="I418">
        <v>29087</v>
      </c>
      <c r="J418">
        <v>808</v>
      </c>
      <c r="K418" t="str" cm="1">
        <f t="array" ref="K418">_xlfn.IFS(J418&lt;600,"520-599",J418&lt;650,"600-649",J418&lt;700,"650-699",J418&lt;750,"700-749",TRUE,"750+")</f>
        <v>750+</v>
      </c>
      <c r="L418" t="str" cm="1">
        <f t="array" ref="L418">_xlfn.IFS(E418&lt;20,"1. Under 20",E418&lt;30,"2. 20-29",E418&lt;40,"3. 30-39",E418&lt;50,"4. 40-49",E418&lt;60,"5. 50-59",E418&lt;70,"6. 60-69",E418&lt;80,"7. 70-79",TRUE,"8. 80+")</f>
        <v>5. 50-59</v>
      </c>
      <c r="M418" t="str">
        <f t="shared" si="6"/>
        <v>2+ years</v>
      </c>
    </row>
    <row r="419" spans="1:13" x14ac:dyDescent="0.25">
      <c r="A419" t="s">
        <v>432</v>
      </c>
      <c r="B419" t="s">
        <v>17</v>
      </c>
      <c r="C419">
        <v>7000</v>
      </c>
      <c r="D419">
        <v>11.75</v>
      </c>
      <c r="E419">
        <v>26.4</v>
      </c>
      <c r="F419">
        <v>0</v>
      </c>
      <c r="G419" t="s">
        <v>7</v>
      </c>
      <c r="H419">
        <v>4</v>
      </c>
      <c r="I419">
        <v>41748</v>
      </c>
      <c r="J419">
        <v>781</v>
      </c>
      <c r="K419" t="str" cm="1">
        <f t="array" ref="K419">_xlfn.IFS(J419&lt;600,"520-599",J419&lt;650,"600-649",J419&lt;700,"650-699",J419&lt;750,"700-749",TRUE,"750+")</f>
        <v>750+</v>
      </c>
      <c r="L419" t="str" cm="1">
        <f t="array" ref="L419">_xlfn.IFS(E419&lt;20,"1. Under 20",E419&lt;30,"2. 20-29",E419&lt;40,"3. 30-39",E419&lt;50,"4. 40-49",E419&lt;60,"5. 50-59",E419&lt;70,"6. 60-69",E419&lt;80,"7. 70-79",TRUE,"8. 80+")</f>
        <v>2. 20-29</v>
      </c>
      <c r="M419" t="str">
        <f t="shared" si="6"/>
        <v>2+ years</v>
      </c>
    </row>
    <row r="420" spans="1:13" x14ac:dyDescent="0.25">
      <c r="A420" t="s">
        <v>433</v>
      </c>
      <c r="B420" t="s">
        <v>4</v>
      </c>
      <c r="C420">
        <v>12900</v>
      </c>
      <c r="D420">
        <v>12.02</v>
      </c>
      <c r="E420">
        <v>26.4</v>
      </c>
      <c r="F420">
        <v>1</v>
      </c>
      <c r="G420" t="s">
        <v>7</v>
      </c>
      <c r="H420">
        <v>10</v>
      </c>
      <c r="I420">
        <v>46787</v>
      </c>
      <c r="J420">
        <v>635</v>
      </c>
      <c r="K420" t="str" cm="1">
        <f t="array" ref="K420">_xlfn.IFS(J420&lt;600,"520-599",J420&lt;650,"600-649",J420&lt;700,"650-699",J420&lt;750,"700-749",TRUE,"750+")</f>
        <v>600-649</v>
      </c>
      <c r="L420" t="str" cm="1">
        <f t="array" ref="L420">_xlfn.IFS(E420&lt;20,"1. Under 20",E420&lt;30,"2. 20-29",E420&lt;40,"3. 30-39",E420&lt;50,"4. 40-49",E420&lt;60,"5. 50-59",E420&lt;70,"6. 60-69",E420&lt;80,"7. 70-79",TRUE,"8. 80+")</f>
        <v>2. 20-29</v>
      </c>
      <c r="M420" t="str">
        <f t="shared" si="6"/>
        <v>2+ years</v>
      </c>
    </row>
    <row r="421" spans="1:13" x14ac:dyDescent="0.25">
      <c r="A421" t="s">
        <v>434</v>
      </c>
      <c r="B421" t="s">
        <v>1</v>
      </c>
      <c r="C421">
        <v>32200</v>
      </c>
      <c r="D421">
        <v>10.02</v>
      </c>
      <c r="E421">
        <v>45.1</v>
      </c>
      <c r="F421">
        <v>0</v>
      </c>
      <c r="G421" t="s">
        <v>10</v>
      </c>
      <c r="H421">
        <v>17</v>
      </c>
      <c r="I421">
        <v>57507</v>
      </c>
      <c r="J421">
        <v>850</v>
      </c>
      <c r="K421" t="str" cm="1">
        <f t="array" ref="K421">_xlfn.IFS(J421&lt;600,"520-599",J421&lt;650,"600-649",J421&lt;700,"650-699",J421&lt;750,"700-749",TRUE,"750+")</f>
        <v>750+</v>
      </c>
      <c r="L421" t="str" cm="1">
        <f t="array" ref="L421">_xlfn.IFS(E421&lt;20,"1. Under 20",E421&lt;30,"2. 20-29",E421&lt;40,"3. 30-39",E421&lt;50,"4. 40-49",E421&lt;60,"5. 50-59",E421&lt;70,"6. 60-69",E421&lt;80,"7. 70-79",TRUE,"8. 80+")</f>
        <v>4. 40-49</v>
      </c>
      <c r="M421" t="str">
        <f t="shared" si="6"/>
        <v>2+ years</v>
      </c>
    </row>
    <row r="422" spans="1:13" x14ac:dyDescent="0.25">
      <c r="A422" t="s">
        <v>435</v>
      </c>
      <c r="B422" t="s">
        <v>21</v>
      </c>
      <c r="C422">
        <v>11300</v>
      </c>
      <c r="D422">
        <v>10.33</v>
      </c>
      <c r="E422">
        <v>47.5</v>
      </c>
      <c r="F422">
        <v>0</v>
      </c>
      <c r="G422" t="s">
        <v>7</v>
      </c>
      <c r="H422">
        <v>18</v>
      </c>
      <c r="I422">
        <v>31671</v>
      </c>
      <c r="J422">
        <v>662</v>
      </c>
      <c r="K422" t="str" cm="1">
        <f t="array" ref="K422">_xlfn.IFS(J422&lt;600,"520-599",J422&lt;650,"600-649",J422&lt;700,"650-699",J422&lt;750,"700-749",TRUE,"750+")</f>
        <v>650-699</v>
      </c>
      <c r="L422" t="str" cm="1">
        <f t="array" ref="L422">_xlfn.IFS(E422&lt;20,"1. Under 20",E422&lt;30,"2. 20-29",E422&lt;40,"3. 30-39",E422&lt;50,"4. 40-49",E422&lt;60,"5. 50-59",E422&lt;70,"6. 60-69",E422&lt;80,"7. 70-79",TRUE,"8. 80+")</f>
        <v>4. 40-49</v>
      </c>
      <c r="M422" t="str">
        <f t="shared" si="6"/>
        <v>2+ years</v>
      </c>
    </row>
    <row r="423" spans="1:13" x14ac:dyDescent="0.25">
      <c r="A423" t="s">
        <v>436</v>
      </c>
      <c r="B423" t="s">
        <v>21</v>
      </c>
      <c r="C423">
        <v>18000</v>
      </c>
      <c r="D423">
        <v>10.31</v>
      </c>
      <c r="E423">
        <v>44.6</v>
      </c>
      <c r="F423">
        <v>0</v>
      </c>
      <c r="G423" t="s">
        <v>7</v>
      </c>
      <c r="H423">
        <v>14</v>
      </c>
      <c r="I423">
        <v>74246</v>
      </c>
      <c r="J423">
        <v>836</v>
      </c>
      <c r="K423" t="str" cm="1">
        <f t="array" ref="K423">_xlfn.IFS(J423&lt;600,"520-599",J423&lt;650,"600-649",J423&lt;700,"650-699",J423&lt;750,"700-749",TRUE,"750+")</f>
        <v>750+</v>
      </c>
      <c r="L423" t="str" cm="1">
        <f t="array" ref="L423">_xlfn.IFS(E423&lt;20,"1. Under 20",E423&lt;30,"2. 20-29",E423&lt;40,"3. 30-39",E423&lt;50,"4. 40-49",E423&lt;60,"5. 50-59",E423&lt;70,"6. 60-69",E423&lt;80,"7. 70-79",TRUE,"8. 80+")</f>
        <v>4. 40-49</v>
      </c>
      <c r="M423" t="str">
        <f t="shared" si="6"/>
        <v>2+ years</v>
      </c>
    </row>
    <row r="424" spans="1:13" x14ac:dyDescent="0.25">
      <c r="A424" t="s">
        <v>437</v>
      </c>
      <c r="B424" t="s">
        <v>15</v>
      </c>
      <c r="C424">
        <v>36900</v>
      </c>
      <c r="D424">
        <v>10.99</v>
      </c>
      <c r="E424">
        <v>50.7</v>
      </c>
      <c r="F424">
        <v>0</v>
      </c>
      <c r="G424" t="s">
        <v>7</v>
      </c>
      <c r="H424">
        <v>14</v>
      </c>
      <c r="I424">
        <v>74246</v>
      </c>
      <c r="J424">
        <v>836</v>
      </c>
      <c r="K424" t="str" cm="1">
        <f t="array" ref="K424">_xlfn.IFS(J424&lt;600,"520-599",J424&lt;650,"600-649",J424&lt;700,"650-699",J424&lt;750,"700-749",TRUE,"750+")</f>
        <v>750+</v>
      </c>
      <c r="L424" t="str" cm="1">
        <f t="array" ref="L424">_xlfn.IFS(E424&lt;20,"1. Under 20",E424&lt;30,"2. 20-29",E424&lt;40,"3. 30-39",E424&lt;50,"4. 40-49",E424&lt;60,"5. 50-59",E424&lt;70,"6. 60-69",E424&lt;80,"7. 70-79",TRUE,"8. 80+")</f>
        <v>5. 50-59</v>
      </c>
      <c r="M424" t="str">
        <f t="shared" si="6"/>
        <v>2+ years</v>
      </c>
    </row>
    <row r="425" spans="1:13" x14ac:dyDescent="0.25">
      <c r="A425" t="s">
        <v>438</v>
      </c>
      <c r="B425" t="s">
        <v>13</v>
      </c>
      <c r="C425">
        <v>20800</v>
      </c>
      <c r="D425">
        <v>12.8</v>
      </c>
      <c r="E425">
        <v>52.9</v>
      </c>
      <c r="F425">
        <v>0</v>
      </c>
      <c r="G425" t="s">
        <v>29</v>
      </c>
      <c r="H425">
        <v>30</v>
      </c>
      <c r="I425">
        <v>46283</v>
      </c>
      <c r="J425">
        <v>650</v>
      </c>
      <c r="K425" t="str" cm="1">
        <f t="array" ref="K425">_xlfn.IFS(J425&lt;600,"520-599",J425&lt;650,"600-649",J425&lt;700,"650-699",J425&lt;750,"700-749",TRUE,"750+")</f>
        <v>650-699</v>
      </c>
      <c r="L425" t="str" cm="1">
        <f t="array" ref="L425">_xlfn.IFS(E425&lt;20,"1. Under 20",E425&lt;30,"2. 20-29",E425&lt;40,"3. 30-39",E425&lt;50,"4. 40-49",E425&lt;60,"5. 50-59",E425&lt;70,"6. 60-69",E425&lt;80,"7. 70-79",TRUE,"8. 80+")</f>
        <v>5. 50-59</v>
      </c>
      <c r="M425" t="str">
        <f t="shared" si="6"/>
        <v>2+ years</v>
      </c>
    </row>
    <row r="426" spans="1:13" x14ac:dyDescent="0.25">
      <c r="A426" t="s">
        <v>439</v>
      </c>
      <c r="B426" t="s">
        <v>15</v>
      </c>
      <c r="C426">
        <v>40000</v>
      </c>
      <c r="D426">
        <v>10.08</v>
      </c>
      <c r="E426">
        <v>107.2</v>
      </c>
      <c r="F426">
        <v>0</v>
      </c>
      <c r="G426" t="s">
        <v>7</v>
      </c>
      <c r="H426">
        <v>9</v>
      </c>
      <c r="I426">
        <v>77060</v>
      </c>
      <c r="J426">
        <v>850</v>
      </c>
      <c r="K426" t="str" cm="1">
        <f t="array" ref="K426">_xlfn.IFS(J426&lt;600,"520-599",J426&lt;650,"600-649",J426&lt;700,"650-699",J426&lt;750,"700-749",TRUE,"750+")</f>
        <v>750+</v>
      </c>
      <c r="L426" t="str" cm="1">
        <f t="array" ref="L426">_xlfn.IFS(E426&lt;20,"1. Under 20",E426&lt;30,"2. 20-29",E426&lt;40,"3. 30-39",E426&lt;50,"4. 40-49",E426&lt;60,"5. 50-59",E426&lt;70,"6. 60-69",E426&lt;80,"7. 70-79",TRUE,"8. 80+")</f>
        <v>8. 80+</v>
      </c>
      <c r="M426" t="str">
        <f t="shared" si="6"/>
        <v>2+ years</v>
      </c>
    </row>
    <row r="427" spans="1:13" x14ac:dyDescent="0.25">
      <c r="A427" t="s">
        <v>440</v>
      </c>
      <c r="B427" t="s">
        <v>9</v>
      </c>
      <c r="C427">
        <v>12100</v>
      </c>
      <c r="D427">
        <v>11.16</v>
      </c>
      <c r="E427">
        <v>54.6</v>
      </c>
      <c r="F427">
        <v>0</v>
      </c>
      <c r="G427" t="s">
        <v>10</v>
      </c>
      <c r="H427">
        <v>1</v>
      </c>
      <c r="I427">
        <v>79686</v>
      </c>
      <c r="J427">
        <v>751</v>
      </c>
      <c r="K427" t="str" cm="1">
        <f t="array" ref="K427">_xlfn.IFS(J427&lt;600,"520-599",J427&lt;650,"600-649",J427&lt;700,"650-699",J427&lt;750,"700-749",TRUE,"750+")</f>
        <v>750+</v>
      </c>
      <c r="L427" t="str" cm="1">
        <f t="array" ref="L427">_xlfn.IFS(E427&lt;20,"1. Under 20",E427&lt;30,"2. 20-29",E427&lt;40,"3. 30-39",E427&lt;50,"4. 40-49",E427&lt;60,"5. 50-59",E427&lt;70,"6. 60-69",E427&lt;80,"7. 70-79",TRUE,"8. 80+")</f>
        <v>5. 50-59</v>
      </c>
      <c r="M427" t="str">
        <f t="shared" si="6"/>
        <v>Under 2 years</v>
      </c>
    </row>
    <row r="428" spans="1:13" x14ac:dyDescent="0.25">
      <c r="A428" t="s">
        <v>441</v>
      </c>
      <c r="B428" t="s">
        <v>15</v>
      </c>
      <c r="C428">
        <v>49200</v>
      </c>
      <c r="D428">
        <v>14.9</v>
      </c>
      <c r="E428">
        <v>69.400000000000006</v>
      </c>
      <c r="F428">
        <v>1</v>
      </c>
      <c r="G428" t="s">
        <v>7</v>
      </c>
      <c r="H428">
        <v>1</v>
      </c>
      <c r="I428">
        <v>132747</v>
      </c>
      <c r="J428">
        <v>584</v>
      </c>
      <c r="K428" t="str" cm="1">
        <f t="array" ref="K428">_xlfn.IFS(J428&lt;600,"520-599",J428&lt;650,"600-649",J428&lt;700,"650-699",J428&lt;750,"700-749",TRUE,"750+")</f>
        <v>520-599</v>
      </c>
      <c r="L428" t="str" cm="1">
        <f t="array" ref="L428">_xlfn.IFS(E428&lt;20,"1. Under 20",E428&lt;30,"2. 20-29",E428&lt;40,"3. 30-39",E428&lt;50,"4. 40-49",E428&lt;60,"5. 50-59",E428&lt;70,"6. 60-69",E428&lt;80,"7. 70-79",TRUE,"8. 80+")</f>
        <v>6. 60-69</v>
      </c>
      <c r="M428" t="str">
        <f t="shared" si="6"/>
        <v>Under 2 years</v>
      </c>
    </row>
    <row r="429" spans="1:13" x14ac:dyDescent="0.25">
      <c r="A429" t="s">
        <v>442</v>
      </c>
      <c r="B429" t="s">
        <v>21</v>
      </c>
      <c r="C429">
        <v>21600</v>
      </c>
      <c r="D429">
        <v>8.8000000000000007</v>
      </c>
      <c r="E429">
        <v>21.5</v>
      </c>
      <c r="F429">
        <v>0</v>
      </c>
      <c r="G429" t="s">
        <v>10</v>
      </c>
      <c r="H429">
        <v>33</v>
      </c>
      <c r="I429">
        <v>90781</v>
      </c>
      <c r="J429">
        <v>850</v>
      </c>
      <c r="K429" t="str" cm="1">
        <f t="array" ref="K429">_xlfn.IFS(J429&lt;600,"520-599",J429&lt;650,"600-649",J429&lt;700,"650-699",J429&lt;750,"700-749",TRUE,"750+")</f>
        <v>750+</v>
      </c>
      <c r="L429" t="str" cm="1">
        <f t="array" ref="L429">_xlfn.IFS(E429&lt;20,"1. Under 20",E429&lt;30,"2. 20-29",E429&lt;40,"3. 30-39",E429&lt;50,"4. 40-49",E429&lt;60,"5. 50-59",E429&lt;70,"6. 60-69",E429&lt;80,"7. 70-79",TRUE,"8. 80+")</f>
        <v>2. 20-29</v>
      </c>
      <c r="M429" t="str">
        <f t="shared" si="6"/>
        <v>2+ years</v>
      </c>
    </row>
    <row r="430" spans="1:13" x14ac:dyDescent="0.25">
      <c r="A430" t="s">
        <v>443</v>
      </c>
      <c r="B430" t="s">
        <v>1</v>
      </c>
      <c r="C430">
        <v>12000</v>
      </c>
      <c r="D430">
        <v>13.61</v>
      </c>
      <c r="E430">
        <v>46.6</v>
      </c>
      <c r="F430">
        <v>0</v>
      </c>
      <c r="G430" t="s">
        <v>29</v>
      </c>
      <c r="H430">
        <v>6</v>
      </c>
      <c r="I430">
        <v>28195</v>
      </c>
      <c r="J430">
        <v>579</v>
      </c>
      <c r="K430" t="str" cm="1">
        <f t="array" ref="K430">_xlfn.IFS(J430&lt;600,"520-599",J430&lt;650,"600-649",J430&lt;700,"650-699",J430&lt;750,"700-749",TRUE,"750+")</f>
        <v>520-599</v>
      </c>
      <c r="L430" t="str" cm="1">
        <f t="array" ref="L430">_xlfn.IFS(E430&lt;20,"1. Under 20",E430&lt;30,"2. 20-29",E430&lt;40,"3. 30-39",E430&lt;50,"4. 40-49",E430&lt;60,"5. 50-59",E430&lt;70,"6. 60-69",E430&lt;80,"7. 70-79",TRUE,"8. 80+")</f>
        <v>4. 40-49</v>
      </c>
      <c r="M430" t="str">
        <f t="shared" si="6"/>
        <v>2+ years</v>
      </c>
    </row>
    <row r="431" spans="1:13" x14ac:dyDescent="0.25">
      <c r="A431" t="s">
        <v>444</v>
      </c>
      <c r="B431" t="s">
        <v>1</v>
      </c>
      <c r="C431">
        <v>33200</v>
      </c>
      <c r="D431">
        <v>10.3</v>
      </c>
      <c r="E431">
        <v>58.6</v>
      </c>
      <c r="F431">
        <v>0</v>
      </c>
      <c r="G431" t="s">
        <v>2</v>
      </c>
      <c r="H431">
        <v>1</v>
      </c>
      <c r="I431">
        <v>55827</v>
      </c>
      <c r="J431">
        <v>772</v>
      </c>
      <c r="K431" t="str" cm="1">
        <f t="array" ref="K431">_xlfn.IFS(J431&lt;600,"520-599",J431&lt;650,"600-649",J431&lt;700,"650-699",J431&lt;750,"700-749",TRUE,"750+")</f>
        <v>750+</v>
      </c>
      <c r="L431" t="str" cm="1">
        <f t="array" ref="L431">_xlfn.IFS(E431&lt;20,"1. Under 20",E431&lt;30,"2. 20-29",E431&lt;40,"3. 30-39",E431&lt;50,"4. 40-49",E431&lt;60,"5. 50-59",E431&lt;70,"6. 60-69",E431&lt;80,"7. 70-79",TRUE,"8. 80+")</f>
        <v>5. 50-59</v>
      </c>
      <c r="M431" t="str">
        <f t="shared" si="6"/>
        <v>Under 2 years</v>
      </c>
    </row>
    <row r="432" spans="1:13" x14ac:dyDescent="0.25">
      <c r="A432" t="s">
        <v>445</v>
      </c>
      <c r="B432" t="s">
        <v>6</v>
      </c>
      <c r="C432">
        <v>30200</v>
      </c>
      <c r="D432">
        <v>11.38</v>
      </c>
      <c r="E432">
        <v>31.8</v>
      </c>
      <c r="F432">
        <v>0</v>
      </c>
      <c r="G432" t="s">
        <v>7</v>
      </c>
      <c r="H432">
        <v>3</v>
      </c>
      <c r="I432">
        <v>96677</v>
      </c>
      <c r="J432">
        <v>661</v>
      </c>
      <c r="K432" t="str" cm="1">
        <f t="array" ref="K432">_xlfn.IFS(J432&lt;600,"520-599",J432&lt;650,"600-649",J432&lt;700,"650-699",J432&lt;750,"700-749",TRUE,"750+")</f>
        <v>650-699</v>
      </c>
      <c r="L432" t="str" cm="1">
        <f t="array" ref="L432">_xlfn.IFS(E432&lt;20,"1. Under 20",E432&lt;30,"2. 20-29",E432&lt;40,"3. 30-39",E432&lt;50,"4. 40-49",E432&lt;60,"5. 50-59",E432&lt;70,"6. 60-69",E432&lt;80,"7. 70-79",TRUE,"8. 80+")</f>
        <v>3. 30-39</v>
      </c>
      <c r="M432" t="str">
        <f t="shared" si="6"/>
        <v>2+ years</v>
      </c>
    </row>
    <row r="433" spans="1:13" x14ac:dyDescent="0.25">
      <c r="A433" t="s">
        <v>446</v>
      </c>
      <c r="B433" t="s">
        <v>4</v>
      </c>
      <c r="C433">
        <v>8000</v>
      </c>
      <c r="D433">
        <v>7.22</v>
      </c>
      <c r="E433">
        <v>23.8</v>
      </c>
      <c r="F433">
        <v>0</v>
      </c>
      <c r="G433" t="s">
        <v>7</v>
      </c>
      <c r="H433">
        <v>22</v>
      </c>
      <c r="I433">
        <v>78653</v>
      </c>
      <c r="J433">
        <v>786</v>
      </c>
      <c r="K433" t="str" cm="1">
        <f t="array" ref="K433">_xlfn.IFS(J433&lt;600,"520-599",J433&lt;650,"600-649",J433&lt;700,"650-699",J433&lt;750,"700-749",TRUE,"750+")</f>
        <v>750+</v>
      </c>
      <c r="L433" t="str" cm="1">
        <f t="array" ref="L433">_xlfn.IFS(E433&lt;20,"1. Under 20",E433&lt;30,"2. 20-29",E433&lt;40,"3. 30-39",E433&lt;50,"4. 40-49",E433&lt;60,"5. 50-59",E433&lt;70,"6. 60-69",E433&lt;80,"7. 70-79",TRUE,"8. 80+")</f>
        <v>2. 20-29</v>
      </c>
      <c r="M433" t="str">
        <f t="shared" si="6"/>
        <v>2+ years</v>
      </c>
    </row>
    <row r="434" spans="1:13" x14ac:dyDescent="0.25">
      <c r="A434" t="s">
        <v>447</v>
      </c>
      <c r="B434" t="s">
        <v>6</v>
      </c>
      <c r="C434">
        <v>26900</v>
      </c>
      <c r="D434">
        <v>8.5299999999999994</v>
      </c>
      <c r="E434">
        <v>51.9</v>
      </c>
      <c r="F434">
        <v>0</v>
      </c>
      <c r="G434" t="s">
        <v>7</v>
      </c>
      <c r="H434">
        <v>20</v>
      </c>
      <c r="I434">
        <v>117130</v>
      </c>
      <c r="J434">
        <v>850</v>
      </c>
      <c r="K434" t="str" cm="1">
        <f t="array" ref="K434">_xlfn.IFS(J434&lt;600,"520-599",J434&lt;650,"600-649",J434&lt;700,"650-699",J434&lt;750,"700-749",TRUE,"750+")</f>
        <v>750+</v>
      </c>
      <c r="L434" t="str" cm="1">
        <f t="array" ref="L434">_xlfn.IFS(E434&lt;20,"1. Under 20",E434&lt;30,"2. 20-29",E434&lt;40,"3. 30-39",E434&lt;50,"4. 40-49",E434&lt;60,"5. 50-59",E434&lt;70,"6. 60-69",E434&lt;80,"7. 70-79",TRUE,"8. 80+")</f>
        <v>5. 50-59</v>
      </c>
      <c r="M434" t="str">
        <f t="shared" si="6"/>
        <v>2+ years</v>
      </c>
    </row>
    <row r="435" spans="1:13" x14ac:dyDescent="0.25">
      <c r="A435" t="s">
        <v>448</v>
      </c>
      <c r="B435" t="s">
        <v>17</v>
      </c>
      <c r="C435">
        <v>30800</v>
      </c>
      <c r="D435">
        <v>5.86</v>
      </c>
      <c r="E435">
        <v>60.2</v>
      </c>
      <c r="F435">
        <v>0</v>
      </c>
      <c r="G435" t="s">
        <v>7</v>
      </c>
      <c r="H435">
        <v>20</v>
      </c>
      <c r="I435">
        <v>117130</v>
      </c>
      <c r="J435">
        <v>850</v>
      </c>
      <c r="K435" t="str" cm="1">
        <f t="array" ref="K435">_xlfn.IFS(J435&lt;600,"520-599",J435&lt;650,"600-649",J435&lt;700,"650-699",J435&lt;750,"700-749",TRUE,"750+")</f>
        <v>750+</v>
      </c>
      <c r="L435" t="str" cm="1">
        <f t="array" ref="L435">_xlfn.IFS(E435&lt;20,"1. Under 20",E435&lt;30,"2. 20-29",E435&lt;40,"3. 30-39",E435&lt;50,"4. 40-49",E435&lt;60,"5. 50-59",E435&lt;70,"6. 60-69",E435&lt;80,"7. 70-79",TRUE,"8. 80+")</f>
        <v>6. 60-69</v>
      </c>
      <c r="M435" t="str">
        <f t="shared" si="6"/>
        <v>2+ years</v>
      </c>
    </row>
    <row r="436" spans="1:13" x14ac:dyDescent="0.25">
      <c r="A436" t="s">
        <v>449</v>
      </c>
      <c r="B436" t="s">
        <v>15</v>
      </c>
      <c r="C436">
        <v>14300</v>
      </c>
      <c r="D436">
        <v>6.87</v>
      </c>
      <c r="E436">
        <v>23.6</v>
      </c>
      <c r="F436">
        <v>0</v>
      </c>
      <c r="G436" t="s">
        <v>10</v>
      </c>
      <c r="H436">
        <v>10</v>
      </c>
      <c r="I436">
        <v>125043</v>
      </c>
      <c r="J436">
        <v>813</v>
      </c>
      <c r="K436" t="str" cm="1">
        <f t="array" ref="K436">_xlfn.IFS(J436&lt;600,"520-599",J436&lt;650,"600-649",J436&lt;700,"650-699",J436&lt;750,"700-749",TRUE,"750+")</f>
        <v>750+</v>
      </c>
      <c r="L436" t="str" cm="1">
        <f t="array" ref="L436">_xlfn.IFS(E436&lt;20,"1. Under 20",E436&lt;30,"2. 20-29",E436&lt;40,"3. 30-39",E436&lt;50,"4. 40-49",E436&lt;60,"5. 50-59",E436&lt;70,"6. 60-69",E436&lt;80,"7. 70-79",TRUE,"8. 80+")</f>
        <v>2. 20-29</v>
      </c>
      <c r="M436" t="str">
        <f t="shared" si="6"/>
        <v>2+ years</v>
      </c>
    </row>
    <row r="437" spans="1:13" x14ac:dyDescent="0.25">
      <c r="A437" t="s">
        <v>450</v>
      </c>
      <c r="B437" t="s">
        <v>21</v>
      </c>
      <c r="C437">
        <v>3900</v>
      </c>
      <c r="D437">
        <v>13.91</v>
      </c>
      <c r="E437">
        <v>24.5</v>
      </c>
      <c r="F437">
        <v>0</v>
      </c>
      <c r="G437" t="s">
        <v>7</v>
      </c>
      <c r="H437">
        <v>3</v>
      </c>
      <c r="I437">
        <v>71139</v>
      </c>
      <c r="J437">
        <v>637</v>
      </c>
      <c r="K437" t="str" cm="1">
        <f t="array" ref="K437">_xlfn.IFS(J437&lt;600,"520-599",J437&lt;650,"600-649",J437&lt;700,"650-699",J437&lt;750,"700-749",TRUE,"750+")</f>
        <v>600-649</v>
      </c>
      <c r="L437" t="str" cm="1">
        <f t="array" ref="L437">_xlfn.IFS(E437&lt;20,"1. Under 20",E437&lt;30,"2. 20-29",E437&lt;40,"3. 30-39",E437&lt;50,"4. 40-49",E437&lt;60,"5. 50-59",E437&lt;70,"6. 60-69",E437&lt;80,"7. 70-79",TRUE,"8. 80+")</f>
        <v>2. 20-29</v>
      </c>
      <c r="M437" t="str">
        <f t="shared" si="6"/>
        <v>2+ years</v>
      </c>
    </row>
    <row r="438" spans="1:13" x14ac:dyDescent="0.25">
      <c r="A438" t="s">
        <v>451</v>
      </c>
      <c r="B438" t="s">
        <v>6</v>
      </c>
      <c r="C438">
        <v>49800</v>
      </c>
      <c r="D438">
        <v>8.52</v>
      </c>
      <c r="E438">
        <v>52.7</v>
      </c>
      <c r="F438">
        <v>0</v>
      </c>
      <c r="G438" t="s">
        <v>10</v>
      </c>
      <c r="H438">
        <v>14</v>
      </c>
      <c r="I438">
        <v>52736</v>
      </c>
      <c r="J438">
        <v>850</v>
      </c>
      <c r="K438" t="str" cm="1">
        <f t="array" ref="K438">_xlfn.IFS(J438&lt;600,"520-599",J438&lt;650,"600-649",J438&lt;700,"650-699",J438&lt;750,"700-749",TRUE,"750+")</f>
        <v>750+</v>
      </c>
      <c r="L438" t="str" cm="1">
        <f t="array" ref="L438">_xlfn.IFS(E438&lt;20,"1. Under 20",E438&lt;30,"2. 20-29",E438&lt;40,"3. 30-39",E438&lt;50,"4. 40-49",E438&lt;60,"5. 50-59",E438&lt;70,"6. 60-69",E438&lt;80,"7. 70-79",TRUE,"8. 80+")</f>
        <v>5. 50-59</v>
      </c>
      <c r="M438" t="str">
        <f t="shared" si="6"/>
        <v>2+ years</v>
      </c>
    </row>
    <row r="439" spans="1:13" x14ac:dyDescent="0.25">
      <c r="A439" t="s">
        <v>452</v>
      </c>
      <c r="B439" t="s">
        <v>15</v>
      </c>
      <c r="C439">
        <v>24000</v>
      </c>
      <c r="D439">
        <v>11.19</v>
      </c>
      <c r="E439">
        <v>77.8</v>
      </c>
      <c r="F439">
        <v>0</v>
      </c>
      <c r="G439" t="s">
        <v>10</v>
      </c>
      <c r="H439">
        <v>11</v>
      </c>
      <c r="I439">
        <v>43058</v>
      </c>
      <c r="J439">
        <v>709</v>
      </c>
      <c r="K439" t="str" cm="1">
        <f t="array" ref="K439">_xlfn.IFS(J439&lt;600,"520-599",J439&lt;650,"600-649",J439&lt;700,"650-699",J439&lt;750,"700-749",TRUE,"750+")</f>
        <v>700-749</v>
      </c>
      <c r="L439" t="str" cm="1">
        <f t="array" ref="L439">_xlfn.IFS(E439&lt;20,"1. Under 20",E439&lt;30,"2. 20-29",E439&lt;40,"3. 30-39",E439&lt;50,"4. 40-49",E439&lt;60,"5. 50-59",E439&lt;70,"6. 60-69",E439&lt;80,"7. 70-79",TRUE,"8. 80+")</f>
        <v>7. 70-79</v>
      </c>
      <c r="M439" t="str">
        <f t="shared" si="6"/>
        <v>2+ years</v>
      </c>
    </row>
    <row r="440" spans="1:13" x14ac:dyDescent="0.25">
      <c r="A440" t="s">
        <v>453</v>
      </c>
      <c r="B440" t="s">
        <v>6</v>
      </c>
      <c r="C440">
        <v>9800</v>
      </c>
      <c r="D440">
        <v>8.3800000000000008</v>
      </c>
      <c r="E440">
        <v>29.8</v>
      </c>
      <c r="F440">
        <v>0</v>
      </c>
      <c r="G440" t="s">
        <v>7</v>
      </c>
      <c r="H440">
        <v>3</v>
      </c>
      <c r="I440">
        <v>36926</v>
      </c>
      <c r="J440">
        <v>817</v>
      </c>
      <c r="K440" t="str" cm="1">
        <f t="array" ref="K440">_xlfn.IFS(J440&lt;600,"520-599",J440&lt;650,"600-649",J440&lt;700,"650-699",J440&lt;750,"700-749",TRUE,"750+")</f>
        <v>750+</v>
      </c>
      <c r="L440" t="str" cm="1">
        <f t="array" ref="L440">_xlfn.IFS(E440&lt;20,"1. Under 20",E440&lt;30,"2. 20-29",E440&lt;40,"3. 30-39",E440&lt;50,"4. 40-49",E440&lt;60,"5. 50-59",E440&lt;70,"6. 60-69",E440&lt;80,"7. 70-79",TRUE,"8. 80+")</f>
        <v>2. 20-29</v>
      </c>
      <c r="M440" t="str">
        <f t="shared" si="6"/>
        <v>2+ years</v>
      </c>
    </row>
    <row r="441" spans="1:13" x14ac:dyDescent="0.25">
      <c r="A441" t="s">
        <v>454</v>
      </c>
      <c r="B441" t="s">
        <v>19</v>
      </c>
      <c r="C441">
        <v>26000</v>
      </c>
      <c r="D441">
        <v>14.51</v>
      </c>
      <c r="E441">
        <v>61.7</v>
      </c>
      <c r="F441">
        <v>0</v>
      </c>
      <c r="G441" t="s">
        <v>7</v>
      </c>
      <c r="H441">
        <v>30</v>
      </c>
      <c r="I441">
        <v>90383</v>
      </c>
      <c r="J441">
        <v>544</v>
      </c>
      <c r="K441" t="str" cm="1">
        <f t="array" ref="K441">_xlfn.IFS(J441&lt;600,"520-599",J441&lt;650,"600-649",J441&lt;700,"650-699",J441&lt;750,"700-749",TRUE,"750+")</f>
        <v>520-599</v>
      </c>
      <c r="L441" t="str" cm="1">
        <f t="array" ref="L441">_xlfn.IFS(E441&lt;20,"1. Under 20",E441&lt;30,"2. 20-29",E441&lt;40,"3. 30-39",E441&lt;50,"4. 40-49",E441&lt;60,"5. 50-59",E441&lt;70,"6. 60-69",E441&lt;80,"7. 70-79",TRUE,"8. 80+")</f>
        <v>6. 60-69</v>
      </c>
      <c r="M441" t="str">
        <f t="shared" si="6"/>
        <v>2+ years</v>
      </c>
    </row>
    <row r="442" spans="1:13" x14ac:dyDescent="0.25">
      <c r="A442" t="s">
        <v>455</v>
      </c>
      <c r="B442" t="s">
        <v>4</v>
      </c>
      <c r="C442">
        <v>31700</v>
      </c>
      <c r="D442">
        <v>6.22</v>
      </c>
      <c r="E442">
        <v>66.8</v>
      </c>
      <c r="F442">
        <v>0</v>
      </c>
      <c r="G442" t="s">
        <v>10</v>
      </c>
      <c r="H442">
        <v>8</v>
      </c>
      <c r="I442">
        <v>43512</v>
      </c>
      <c r="J442">
        <v>850</v>
      </c>
      <c r="K442" t="str" cm="1">
        <f t="array" ref="K442">_xlfn.IFS(J442&lt;600,"520-599",J442&lt;650,"600-649",J442&lt;700,"650-699",J442&lt;750,"700-749",TRUE,"750+")</f>
        <v>750+</v>
      </c>
      <c r="L442" t="str" cm="1">
        <f t="array" ref="L442">_xlfn.IFS(E442&lt;20,"1. Under 20",E442&lt;30,"2. 20-29",E442&lt;40,"3. 30-39",E442&lt;50,"4. 40-49",E442&lt;60,"5. 50-59",E442&lt;70,"6. 60-69",E442&lt;80,"7. 70-79",TRUE,"8. 80+")</f>
        <v>6. 60-69</v>
      </c>
      <c r="M442" t="str">
        <f t="shared" si="6"/>
        <v>2+ years</v>
      </c>
    </row>
    <row r="443" spans="1:13" x14ac:dyDescent="0.25">
      <c r="A443" t="s">
        <v>456</v>
      </c>
      <c r="B443" t="s">
        <v>13</v>
      </c>
      <c r="C443">
        <v>18100</v>
      </c>
      <c r="D443">
        <v>9.7200000000000006</v>
      </c>
      <c r="E443">
        <v>44</v>
      </c>
      <c r="F443">
        <v>0</v>
      </c>
      <c r="G443" t="s">
        <v>10</v>
      </c>
      <c r="H443">
        <v>8</v>
      </c>
      <c r="I443">
        <v>43512</v>
      </c>
      <c r="J443">
        <v>850</v>
      </c>
      <c r="K443" t="str" cm="1">
        <f t="array" ref="K443">_xlfn.IFS(J443&lt;600,"520-599",J443&lt;650,"600-649",J443&lt;700,"650-699",J443&lt;750,"700-749",TRUE,"750+")</f>
        <v>750+</v>
      </c>
      <c r="L443" t="str" cm="1">
        <f t="array" ref="L443">_xlfn.IFS(E443&lt;20,"1. Under 20",E443&lt;30,"2. 20-29",E443&lt;40,"3. 30-39",E443&lt;50,"4. 40-49",E443&lt;60,"5. 50-59",E443&lt;70,"6. 60-69",E443&lt;80,"7. 70-79",TRUE,"8. 80+")</f>
        <v>4. 40-49</v>
      </c>
      <c r="M443" t="str">
        <f t="shared" si="6"/>
        <v>2+ years</v>
      </c>
    </row>
    <row r="444" spans="1:13" x14ac:dyDescent="0.25">
      <c r="A444" t="s">
        <v>457</v>
      </c>
      <c r="B444" t="s">
        <v>19</v>
      </c>
      <c r="C444">
        <v>7000</v>
      </c>
      <c r="D444">
        <v>8.5</v>
      </c>
      <c r="E444">
        <v>54.8</v>
      </c>
      <c r="F444">
        <v>0</v>
      </c>
      <c r="G444" t="s">
        <v>2</v>
      </c>
      <c r="H444">
        <v>3</v>
      </c>
      <c r="I444">
        <v>93191</v>
      </c>
      <c r="J444">
        <v>743</v>
      </c>
      <c r="K444" t="str" cm="1">
        <f t="array" ref="K444">_xlfn.IFS(J444&lt;600,"520-599",J444&lt;650,"600-649",J444&lt;700,"650-699",J444&lt;750,"700-749",TRUE,"750+")</f>
        <v>700-749</v>
      </c>
      <c r="L444" t="str" cm="1">
        <f t="array" ref="L444">_xlfn.IFS(E444&lt;20,"1. Under 20",E444&lt;30,"2. 20-29",E444&lt;40,"3. 30-39",E444&lt;50,"4. 40-49",E444&lt;60,"5. 50-59",E444&lt;70,"6. 60-69",E444&lt;80,"7. 70-79",TRUE,"8. 80+")</f>
        <v>5. 50-59</v>
      </c>
      <c r="M444" t="str">
        <f t="shared" si="6"/>
        <v>2+ years</v>
      </c>
    </row>
    <row r="445" spans="1:13" x14ac:dyDescent="0.25">
      <c r="A445" t="s">
        <v>458</v>
      </c>
      <c r="B445" t="s">
        <v>26</v>
      </c>
      <c r="C445">
        <v>25100</v>
      </c>
      <c r="D445">
        <v>10.83</v>
      </c>
      <c r="E445">
        <v>68</v>
      </c>
      <c r="F445">
        <v>1</v>
      </c>
      <c r="G445" t="s">
        <v>23</v>
      </c>
      <c r="H445">
        <v>30</v>
      </c>
      <c r="I445">
        <v>32803</v>
      </c>
      <c r="J445">
        <v>580</v>
      </c>
      <c r="K445" t="str" cm="1">
        <f t="array" ref="K445">_xlfn.IFS(J445&lt;600,"520-599",J445&lt;650,"600-649",J445&lt;700,"650-699",J445&lt;750,"700-749",TRUE,"750+")</f>
        <v>520-599</v>
      </c>
      <c r="L445" t="str" cm="1">
        <f t="array" ref="L445">_xlfn.IFS(E445&lt;20,"1. Under 20",E445&lt;30,"2. 20-29",E445&lt;40,"3. 30-39",E445&lt;50,"4. 40-49",E445&lt;60,"5. 50-59",E445&lt;70,"6. 60-69",E445&lt;80,"7. 70-79",TRUE,"8. 80+")</f>
        <v>6. 60-69</v>
      </c>
      <c r="M445" t="str">
        <f t="shared" si="6"/>
        <v>2+ years</v>
      </c>
    </row>
    <row r="446" spans="1:13" x14ac:dyDescent="0.25">
      <c r="A446" t="s">
        <v>459</v>
      </c>
      <c r="B446" t="s">
        <v>6</v>
      </c>
      <c r="C446">
        <v>42100</v>
      </c>
      <c r="D446">
        <v>11.95</v>
      </c>
      <c r="E446">
        <v>72.2</v>
      </c>
      <c r="F446">
        <v>1</v>
      </c>
      <c r="G446" t="s">
        <v>29</v>
      </c>
      <c r="H446">
        <v>4</v>
      </c>
      <c r="I446">
        <v>49297</v>
      </c>
      <c r="J446">
        <v>626</v>
      </c>
      <c r="K446" t="str" cm="1">
        <f t="array" ref="K446">_xlfn.IFS(J446&lt;600,"520-599",J446&lt;650,"600-649",J446&lt;700,"650-699",J446&lt;750,"700-749",TRUE,"750+")</f>
        <v>600-649</v>
      </c>
      <c r="L446" t="str" cm="1">
        <f t="array" ref="L446">_xlfn.IFS(E446&lt;20,"1. Under 20",E446&lt;30,"2. 20-29",E446&lt;40,"3. 30-39",E446&lt;50,"4. 40-49",E446&lt;60,"5. 50-59",E446&lt;70,"6. 60-69",E446&lt;80,"7. 70-79",TRUE,"8. 80+")</f>
        <v>7. 70-79</v>
      </c>
      <c r="M446" t="str">
        <f t="shared" si="6"/>
        <v>2+ years</v>
      </c>
    </row>
    <row r="447" spans="1:13" x14ac:dyDescent="0.25">
      <c r="A447" t="s">
        <v>460</v>
      </c>
      <c r="B447" t="s">
        <v>15</v>
      </c>
      <c r="C447">
        <v>14100</v>
      </c>
      <c r="D447">
        <v>11.21</v>
      </c>
      <c r="E447">
        <v>36.4</v>
      </c>
      <c r="F447">
        <v>0</v>
      </c>
      <c r="G447" t="s">
        <v>7</v>
      </c>
      <c r="H447">
        <v>31</v>
      </c>
      <c r="I447">
        <v>49527</v>
      </c>
      <c r="J447">
        <v>543</v>
      </c>
      <c r="K447" t="str" cm="1">
        <f t="array" ref="K447">_xlfn.IFS(J447&lt;600,"520-599",J447&lt;650,"600-649",J447&lt;700,"650-699",J447&lt;750,"700-749",TRUE,"750+")</f>
        <v>520-599</v>
      </c>
      <c r="L447" t="str" cm="1">
        <f t="array" ref="L447">_xlfn.IFS(E447&lt;20,"1. Under 20",E447&lt;30,"2. 20-29",E447&lt;40,"3. 30-39",E447&lt;50,"4. 40-49",E447&lt;60,"5. 50-59",E447&lt;70,"6. 60-69",E447&lt;80,"7. 70-79",TRUE,"8. 80+")</f>
        <v>3. 30-39</v>
      </c>
      <c r="M447" t="str">
        <f t="shared" si="6"/>
        <v>2+ years</v>
      </c>
    </row>
    <row r="448" spans="1:13" x14ac:dyDescent="0.25">
      <c r="A448" t="s">
        <v>461</v>
      </c>
      <c r="B448" t="s">
        <v>15</v>
      </c>
      <c r="C448">
        <v>17600</v>
      </c>
      <c r="D448">
        <v>10.76</v>
      </c>
      <c r="E448">
        <v>60.1</v>
      </c>
      <c r="F448">
        <v>0</v>
      </c>
      <c r="G448" t="s">
        <v>29</v>
      </c>
      <c r="H448">
        <v>1</v>
      </c>
      <c r="I448">
        <v>55596</v>
      </c>
      <c r="J448">
        <v>705</v>
      </c>
      <c r="K448" t="str" cm="1">
        <f t="array" ref="K448">_xlfn.IFS(J448&lt;600,"520-599",J448&lt;650,"600-649",J448&lt;700,"650-699",J448&lt;750,"700-749",TRUE,"750+")</f>
        <v>700-749</v>
      </c>
      <c r="L448" t="str" cm="1">
        <f t="array" ref="L448">_xlfn.IFS(E448&lt;20,"1. Under 20",E448&lt;30,"2. 20-29",E448&lt;40,"3. 30-39",E448&lt;50,"4. 40-49",E448&lt;60,"5. 50-59",E448&lt;70,"6. 60-69",E448&lt;80,"7. 70-79",TRUE,"8. 80+")</f>
        <v>6. 60-69</v>
      </c>
      <c r="M448" t="str">
        <f t="shared" si="6"/>
        <v>Under 2 years</v>
      </c>
    </row>
    <row r="449" spans="1:13" x14ac:dyDescent="0.25">
      <c r="A449" t="s">
        <v>462</v>
      </c>
      <c r="B449" t="s">
        <v>19</v>
      </c>
      <c r="C449">
        <v>29700</v>
      </c>
      <c r="D449">
        <v>8.4499999999999993</v>
      </c>
      <c r="E449">
        <v>39.799999999999997</v>
      </c>
      <c r="F449">
        <v>0</v>
      </c>
      <c r="G449" t="s">
        <v>7</v>
      </c>
      <c r="H449">
        <v>11</v>
      </c>
      <c r="I449">
        <v>51445</v>
      </c>
      <c r="J449">
        <v>815</v>
      </c>
      <c r="K449" t="str" cm="1">
        <f t="array" ref="K449">_xlfn.IFS(J449&lt;600,"520-599",J449&lt;650,"600-649",J449&lt;700,"650-699",J449&lt;750,"700-749",TRUE,"750+")</f>
        <v>750+</v>
      </c>
      <c r="L449" t="str" cm="1">
        <f t="array" ref="L449">_xlfn.IFS(E449&lt;20,"1. Under 20",E449&lt;30,"2. 20-29",E449&lt;40,"3. 30-39",E449&lt;50,"4. 40-49",E449&lt;60,"5. 50-59",E449&lt;70,"6. 60-69",E449&lt;80,"7. 70-79",TRUE,"8. 80+")</f>
        <v>3. 30-39</v>
      </c>
      <c r="M449" t="str">
        <f t="shared" si="6"/>
        <v>2+ years</v>
      </c>
    </row>
    <row r="450" spans="1:13" x14ac:dyDescent="0.25">
      <c r="A450" t="s">
        <v>463</v>
      </c>
      <c r="B450" t="s">
        <v>19</v>
      </c>
      <c r="C450">
        <v>9900</v>
      </c>
      <c r="D450">
        <v>6.84</v>
      </c>
      <c r="E450">
        <v>37.9</v>
      </c>
      <c r="F450">
        <v>0</v>
      </c>
      <c r="G450" t="s">
        <v>7</v>
      </c>
      <c r="H450">
        <v>11</v>
      </c>
      <c r="I450">
        <v>51445</v>
      </c>
      <c r="J450">
        <v>815</v>
      </c>
      <c r="K450" t="str" cm="1">
        <f t="array" ref="K450">_xlfn.IFS(J450&lt;600,"520-599",J450&lt;650,"600-649",J450&lt;700,"650-699",J450&lt;750,"700-749",TRUE,"750+")</f>
        <v>750+</v>
      </c>
      <c r="L450" t="str" cm="1">
        <f t="array" ref="L450">_xlfn.IFS(E450&lt;20,"1. Under 20",E450&lt;30,"2. 20-29",E450&lt;40,"3. 30-39",E450&lt;50,"4. 40-49",E450&lt;60,"5. 50-59",E450&lt;70,"6. 60-69",E450&lt;80,"7. 70-79",TRUE,"8. 80+")</f>
        <v>3. 30-39</v>
      </c>
      <c r="M450" t="str">
        <f t="shared" si="6"/>
        <v>2+ years</v>
      </c>
    </row>
    <row r="451" spans="1:13" x14ac:dyDescent="0.25">
      <c r="A451" t="s">
        <v>464</v>
      </c>
      <c r="B451" t="s">
        <v>4</v>
      </c>
      <c r="C451">
        <v>46800</v>
      </c>
      <c r="D451">
        <v>10.46</v>
      </c>
      <c r="E451">
        <v>43.4</v>
      </c>
      <c r="F451">
        <v>0</v>
      </c>
      <c r="G451" t="s">
        <v>7</v>
      </c>
      <c r="H451">
        <v>5</v>
      </c>
      <c r="I451">
        <v>112919</v>
      </c>
      <c r="J451">
        <v>716</v>
      </c>
      <c r="K451" t="str" cm="1">
        <f t="array" ref="K451">_xlfn.IFS(J451&lt;600,"520-599",J451&lt;650,"600-649",J451&lt;700,"650-699",J451&lt;750,"700-749",TRUE,"750+")</f>
        <v>700-749</v>
      </c>
      <c r="L451" t="str" cm="1">
        <f t="array" ref="L451">_xlfn.IFS(E451&lt;20,"1. Under 20",E451&lt;30,"2. 20-29",E451&lt;40,"3. 30-39",E451&lt;50,"4. 40-49",E451&lt;60,"5. 50-59",E451&lt;70,"6. 60-69",E451&lt;80,"7. 70-79",TRUE,"8. 80+")</f>
        <v>4. 40-49</v>
      </c>
      <c r="M451" t="str">
        <f t="shared" ref="M451:M514" si="7">IF(H451&lt;2,"Under 2 years","2+ years")</f>
        <v>2+ years</v>
      </c>
    </row>
    <row r="452" spans="1:13" x14ac:dyDescent="0.25">
      <c r="A452" t="s">
        <v>465</v>
      </c>
      <c r="B452" t="s">
        <v>17</v>
      </c>
      <c r="C452">
        <v>31600</v>
      </c>
      <c r="D452">
        <v>11.64</v>
      </c>
      <c r="E452">
        <v>50.1</v>
      </c>
      <c r="F452">
        <v>0</v>
      </c>
      <c r="G452" t="s">
        <v>7</v>
      </c>
      <c r="H452">
        <v>5</v>
      </c>
      <c r="I452">
        <v>112919</v>
      </c>
      <c r="J452">
        <v>716</v>
      </c>
      <c r="K452" t="str" cm="1">
        <f t="array" ref="K452">_xlfn.IFS(J452&lt;600,"520-599",J452&lt;650,"600-649",J452&lt;700,"650-699",J452&lt;750,"700-749",TRUE,"750+")</f>
        <v>700-749</v>
      </c>
      <c r="L452" t="str" cm="1">
        <f t="array" ref="L452">_xlfn.IFS(E452&lt;20,"1. Under 20",E452&lt;30,"2. 20-29",E452&lt;40,"3. 30-39",E452&lt;50,"4. 40-49",E452&lt;60,"5. 50-59",E452&lt;70,"6. 60-69",E452&lt;80,"7. 70-79",TRUE,"8. 80+")</f>
        <v>5. 50-59</v>
      </c>
      <c r="M452" t="str">
        <f t="shared" si="7"/>
        <v>2+ years</v>
      </c>
    </row>
    <row r="453" spans="1:13" x14ac:dyDescent="0.25">
      <c r="A453" t="s">
        <v>466</v>
      </c>
      <c r="B453" t="s">
        <v>6</v>
      </c>
      <c r="C453">
        <v>3700</v>
      </c>
      <c r="D453">
        <v>15.07</v>
      </c>
      <c r="E453">
        <v>55.4</v>
      </c>
      <c r="F453">
        <v>0</v>
      </c>
      <c r="G453" t="s">
        <v>23</v>
      </c>
      <c r="H453">
        <v>15</v>
      </c>
      <c r="I453">
        <v>38602</v>
      </c>
      <c r="J453">
        <v>585</v>
      </c>
      <c r="K453" t="str" cm="1">
        <f t="array" ref="K453">_xlfn.IFS(J453&lt;600,"520-599",J453&lt;650,"600-649",J453&lt;700,"650-699",J453&lt;750,"700-749",TRUE,"750+")</f>
        <v>520-599</v>
      </c>
      <c r="L453" t="str" cm="1">
        <f t="array" ref="L453">_xlfn.IFS(E453&lt;20,"1. Under 20",E453&lt;30,"2. 20-29",E453&lt;40,"3. 30-39",E453&lt;50,"4. 40-49",E453&lt;60,"5. 50-59",E453&lt;70,"6. 60-69",E453&lt;80,"7. 70-79",TRUE,"8. 80+")</f>
        <v>5. 50-59</v>
      </c>
      <c r="M453" t="str">
        <f t="shared" si="7"/>
        <v>2+ years</v>
      </c>
    </row>
    <row r="454" spans="1:13" x14ac:dyDescent="0.25">
      <c r="A454" t="s">
        <v>467</v>
      </c>
      <c r="B454" t="s">
        <v>15</v>
      </c>
      <c r="C454">
        <v>33800</v>
      </c>
      <c r="D454">
        <v>12.73</v>
      </c>
      <c r="E454">
        <v>80.2</v>
      </c>
      <c r="F454">
        <v>1</v>
      </c>
      <c r="G454" t="s">
        <v>23</v>
      </c>
      <c r="H454">
        <v>15</v>
      </c>
      <c r="I454">
        <v>38602</v>
      </c>
      <c r="J454">
        <v>585</v>
      </c>
      <c r="K454" t="str" cm="1">
        <f t="array" ref="K454">_xlfn.IFS(J454&lt;600,"520-599",J454&lt;650,"600-649",J454&lt;700,"650-699",J454&lt;750,"700-749",TRUE,"750+")</f>
        <v>520-599</v>
      </c>
      <c r="L454" t="str" cm="1">
        <f t="array" ref="L454">_xlfn.IFS(E454&lt;20,"1. Under 20",E454&lt;30,"2. 20-29",E454&lt;40,"3. 30-39",E454&lt;50,"4. 40-49",E454&lt;60,"5. 50-59",E454&lt;70,"6. 60-69",E454&lt;80,"7. 70-79",TRUE,"8. 80+")</f>
        <v>8. 80+</v>
      </c>
      <c r="M454" t="str">
        <f t="shared" si="7"/>
        <v>2+ years</v>
      </c>
    </row>
    <row r="455" spans="1:13" x14ac:dyDescent="0.25">
      <c r="A455" t="s">
        <v>468</v>
      </c>
      <c r="B455" t="s">
        <v>19</v>
      </c>
      <c r="C455">
        <v>42800</v>
      </c>
      <c r="D455">
        <v>9.3699999999999992</v>
      </c>
      <c r="E455">
        <v>105.8</v>
      </c>
      <c r="F455">
        <v>0</v>
      </c>
      <c r="G455" t="s">
        <v>7</v>
      </c>
      <c r="H455">
        <v>4</v>
      </c>
      <c r="I455">
        <v>48244</v>
      </c>
      <c r="J455">
        <v>725</v>
      </c>
      <c r="K455" t="str" cm="1">
        <f t="array" ref="K455">_xlfn.IFS(J455&lt;600,"520-599",J455&lt;650,"600-649",J455&lt;700,"650-699",J455&lt;750,"700-749",TRUE,"750+")</f>
        <v>700-749</v>
      </c>
      <c r="L455" t="str" cm="1">
        <f t="array" ref="L455">_xlfn.IFS(E455&lt;20,"1. Under 20",E455&lt;30,"2. 20-29",E455&lt;40,"3. 30-39",E455&lt;50,"4. 40-49",E455&lt;60,"5. 50-59",E455&lt;70,"6. 60-69",E455&lt;80,"7. 70-79",TRUE,"8. 80+")</f>
        <v>8. 80+</v>
      </c>
      <c r="M455" t="str">
        <f t="shared" si="7"/>
        <v>2+ years</v>
      </c>
    </row>
    <row r="456" spans="1:13" x14ac:dyDescent="0.25">
      <c r="A456" t="s">
        <v>469</v>
      </c>
      <c r="B456" t="s">
        <v>19</v>
      </c>
      <c r="C456">
        <v>46600</v>
      </c>
      <c r="D456">
        <v>11.4</v>
      </c>
      <c r="E456">
        <v>38</v>
      </c>
      <c r="F456">
        <v>0</v>
      </c>
      <c r="G456" t="s">
        <v>29</v>
      </c>
      <c r="H456">
        <v>2</v>
      </c>
      <c r="I456">
        <v>42389</v>
      </c>
      <c r="J456">
        <v>764</v>
      </c>
      <c r="K456" t="str" cm="1">
        <f t="array" ref="K456">_xlfn.IFS(J456&lt;600,"520-599",J456&lt;650,"600-649",J456&lt;700,"650-699",J456&lt;750,"700-749",TRUE,"750+")</f>
        <v>750+</v>
      </c>
      <c r="L456" t="str" cm="1">
        <f t="array" ref="L456">_xlfn.IFS(E456&lt;20,"1. Under 20",E456&lt;30,"2. 20-29",E456&lt;40,"3. 30-39",E456&lt;50,"4. 40-49",E456&lt;60,"5. 50-59",E456&lt;70,"6. 60-69",E456&lt;80,"7. 70-79",TRUE,"8. 80+")</f>
        <v>3. 30-39</v>
      </c>
      <c r="M456" t="str">
        <f t="shared" si="7"/>
        <v>2+ years</v>
      </c>
    </row>
    <row r="457" spans="1:13" x14ac:dyDescent="0.25">
      <c r="A457" t="s">
        <v>470</v>
      </c>
      <c r="B457" t="s">
        <v>21</v>
      </c>
      <c r="C457">
        <v>17800</v>
      </c>
      <c r="D457">
        <v>11.5</v>
      </c>
      <c r="E457">
        <v>42.5</v>
      </c>
      <c r="F457">
        <v>0</v>
      </c>
      <c r="G457" t="s">
        <v>7</v>
      </c>
      <c r="H457">
        <v>14</v>
      </c>
      <c r="I457">
        <v>81081</v>
      </c>
      <c r="J457">
        <v>542</v>
      </c>
      <c r="K457" t="str" cm="1">
        <f t="array" ref="K457">_xlfn.IFS(J457&lt;600,"520-599",J457&lt;650,"600-649",J457&lt;700,"650-699",J457&lt;750,"700-749",TRUE,"750+")</f>
        <v>520-599</v>
      </c>
      <c r="L457" t="str" cm="1">
        <f t="array" ref="L457">_xlfn.IFS(E457&lt;20,"1. Under 20",E457&lt;30,"2. 20-29",E457&lt;40,"3. 30-39",E457&lt;50,"4. 40-49",E457&lt;60,"5. 50-59",E457&lt;70,"6. 60-69",E457&lt;80,"7. 70-79",TRUE,"8. 80+")</f>
        <v>4. 40-49</v>
      </c>
      <c r="M457" t="str">
        <f t="shared" si="7"/>
        <v>2+ years</v>
      </c>
    </row>
    <row r="458" spans="1:13" x14ac:dyDescent="0.25">
      <c r="A458" t="s">
        <v>471</v>
      </c>
      <c r="B458" t="s">
        <v>1</v>
      </c>
      <c r="C458">
        <v>14100</v>
      </c>
      <c r="D458">
        <v>7.99</v>
      </c>
      <c r="E458">
        <v>45.4</v>
      </c>
      <c r="F458">
        <v>1</v>
      </c>
      <c r="G458" t="s">
        <v>2</v>
      </c>
      <c r="H458">
        <v>6</v>
      </c>
      <c r="I458">
        <v>46217</v>
      </c>
      <c r="J458">
        <v>844</v>
      </c>
      <c r="K458" t="str" cm="1">
        <f t="array" ref="K458">_xlfn.IFS(J458&lt;600,"520-599",J458&lt;650,"600-649",J458&lt;700,"650-699",J458&lt;750,"700-749",TRUE,"750+")</f>
        <v>750+</v>
      </c>
      <c r="L458" t="str" cm="1">
        <f t="array" ref="L458">_xlfn.IFS(E458&lt;20,"1. Under 20",E458&lt;30,"2. 20-29",E458&lt;40,"3. 30-39",E458&lt;50,"4. 40-49",E458&lt;60,"5. 50-59",E458&lt;70,"6. 60-69",E458&lt;80,"7. 70-79",TRUE,"8. 80+")</f>
        <v>4. 40-49</v>
      </c>
      <c r="M458" t="str">
        <f t="shared" si="7"/>
        <v>2+ years</v>
      </c>
    </row>
    <row r="459" spans="1:13" x14ac:dyDescent="0.25">
      <c r="A459" t="s">
        <v>472</v>
      </c>
      <c r="B459" t="s">
        <v>4</v>
      </c>
      <c r="C459">
        <v>11000</v>
      </c>
      <c r="D459">
        <v>13.82</v>
      </c>
      <c r="E459">
        <v>56.6</v>
      </c>
      <c r="F459">
        <v>1</v>
      </c>
      <c r="G459" t="s">
        <v>7</v>
      </c>
      <c r="H459">
        <v>1</v>
      </c>
      <c r="I459">
        <v>35533</v>
      </c>
      <c r="J459">
        <v>532</v>
      </c>
      <c r="K459" t="str" cm="1">
        <f t="array" ref="K459">_xlfn.IFS(J459&lt;600,"520-599",J459&lt;650,"600-649",J459&lt;700,"650-699",J459&lt;750,"700-749",TRUE,"750+")</f>
        <v>520-599</v>
      </c>
      <c r="L459" t="str" cm="1">
        <f t="array" ref="L459">_xlfn.IFS(E459&lt;20,"1. Under 20",E459&lt;30,"2. 20-29",E459&lt;40,"3. 30-39",E459&lt;50,"4. 40-49",E459&lt;60,"5. 50-59",E459&lt;70,"6. 60-69",E459&lt;80,"7. 70-79",TRUE,"8. 80+")</f>
        <v>5. 50-59</v>
      </c>
      <c r="M459" t="str">
        <f t="shared" si="7"/>
        <v>Under 2 years</v>
      </c>
    </row>
    <row r="460" spans="1:13" x14ac:dyDescent="0.25">
      <c r="A460" t="s">
        <v>473</v>
      </c>
      <c r="B460" t="s">
        <v>1</v>
      </c>
      <c r="C460">
        <v>19000</v>
      </c>
      <c r="D460">
        <v>8.2100000000000009</v>
      </c>
      <c r="E460">
        <v>17.600000000000001</v>
      </c>
      <c r="F460">
        <v>0</v>
      </c>
      <c r="G460" t="s">
        <v>7</v>
      </c>
      <c r="H460">
        <v>8</v>
      </c>
      <c r="I460">
        <v>129845</v>
      </c>
      <c r="J460">
        <v>709</v>
      </c>
      <c r="K460" t="str" cm="1">
        <f t="array" ref="K460">_xlfn.IFS(J460&lt;600,"520-599",J460&lt;650,"600-649",J460&lt;700,"650-699",J460&lt;750,"700-749",TRUE,"750+")</f>
        <v>700-749</v>
      </c>
      <c r="L460" t="str" cm="1">
        <f t="array" ref="L460">_xlfn.IFS(E460&lt;20,"1. Under 20",E460&lt;30,"2. 20-29",E460&lt;40,"3. 30-39",E460&lt;50,"4. 40-49",E460&lt;60,"5. 50-59",E460&lt;70,"6. 60-69",E460&lt;80,"7. 70-79",TRUE,"8. 80+")</f>
        <v>1. Under 20</v>
      </c>
      <c r="M460" t="str">
        <f t="shared" si="7"/>
        <v>2+ years</v>
      </c>
    </row>
    <row r="461" spans="1:13" x14ac:dyDescent="0.25">
      <c r="A461" t="s">
        <v>474</v>
      </c>
      <c r="B461" t="s">
        <v>13</v>
      </c>
      <c r="C461">
        <v>9700</v>
      </c>
      <c r="D461">
        <v>10.74</v>
      </c>
      <c r="E461">
        <v>20.3</v>
      </c>
      <c r="F461">
        <v>0</v>
      </c>
      <c r="G461" t="s">
        <v>7</v>
      </c>
      <c r="H461">
        <v>4</v>
      </c>
      <c r="I461">
        <v>63025</v>
      </c>
      <c r="J461">
        <v>840</v>
      </c>
      <c r="K461" t="str" cm="1">
        <f t="array" ref="K461">_xlfn.IFS(J461&lt;600,"520-599",J461&lt;650,"600-649",J461&lt;700,"650-699",J461&lt;750,"700-749",TRUE,"750+")</f>
        <v>750+</v>
      </c>
      <c r="L461" t="str" cm="1">
        <f t="array" ref="L461">_xlfn.IFS(E461&lt;20,"1. Under 20",E461&lt;30,"2. 20-29",E461&lt;40,"3. 30-39",E461&lt;50,"4. 40-49",E461&lt;60,"5. 50-59",E461&lt;70,"6. 60-69",E461&lt;80,"7. 70-79",TRUE,"8. 80+")</f>
        <v>2. 20-29</v>
      </c>
      <c r="M461" t="str">
        <f t="shared" si="7"/>
        <v>2+ years</v>
      </c>
    </row>
    <row r="462" spans="1:13" x14ac:dyDescent="0.25">
      <c r="A462" t="s">
        <v>475</v>
      </c>
      <c r="B462" t="s">
        <v>15</v>
      </c>
      <c r="C462">
        <v>38700</v>
      </c>
      <c r="D462">
        <v>9.99</v>
      </c>
      <c r="E462">
        <v>27.2</v>
      </c>
      <c r="F462">
        <v>0</v>
      </c>
      <c r="G462" t="s">
        <v>7</v>
      </c>
      <c r="H462">
        <v>1</v>
      </c>
      <c r="I462">
        <v>101087</v>
      </c>
      <c r="J462">
        <v>751</v>
      </c>
      <c r="K462" t="str" cm="1">
        <f t="array" ref="K462">_xlfn.IFS(J462&lt;600,"520-599",J462&lt;650,"600-649",J462&lt;700,"650-699",J462&lt;750,"700-749",TRUE,"750+")</f>
        <v>750+</v>
      </c>
      <c r="L462" t="str" cm="1">
        <f t="array" ref="L462">_xlfn.IFS(E462&lt;20,"1. Under 20",E462&lt;30,"2. 20-29",E462&lt;40,"3. 30-39",E462&lt;50,"4. 40-49",E462&lt;60,"5. 50-59",E462&lt;70,"6. 60-69",E462&lt;80,"7. 70-79",TRUE,"8. 80+")</f>
        <v>2. 20-29</v>
      </c>
      <c r="M462" t="str">
        <f t="shared" si="7"/>
        <v>Under 2 years</v>
      </c>
    </row>
    <row r="463" spans="1:13" x14ac:dyDescent="0.25">
      <c r="A463" t="s">
        <v>476</v>
      </c>
      <c r="B463" t="s">
        <v>13</v>
      </c>
      <c r="C463">
        <v>38800</v>
      </c>
      <c r="D463">
        <v>11.03</v>
      </c>
      <c r="E463">
        <v>70.099999999999994</v>
      </c>
      <c r="F463">
        <v>1</v>
      </c>
      <c r="G463" t="s">
        <v>7</v>
      </c>
      <c r="H463">
        <v>3</v>
      </c>
      <c r="I463">
        <v>63988</v>
      </c>
      <c r="J463">
        <v>554</v>
      </c>
      <c r="K463" t="str" cm="1">
        <f t="array" ref="K463">_xlfn.IFS(J463&lt;600,"520-599",J463&lt;650,"600-649",J463&lt;700,"650-699",J463&lt;750,"700-749",TRUE,"750+")</f>
        <v>520-599</v>
      </c>
      <c r="L463" t="str" cm="1">
        <f t="array" ref="L463">_xlfn.IFS(E463&lt;20,"1. Under 20",E463&lt;30,"2. 20-29",E463&lt;40,"3. 30-39",E463&lt;50,"4. 40-49",E463&lt;60,"5. 50-59",E463&lt;70,"6. 60-69",E463&lt;80,"7. 70-79",TRUE,"8. 80+")</f>
        <v>7. 70-79</v>
      </c>
      <c r="M463" t="str">
        <f t="shared" si="7"/>
        <v>2+ years</v>
      </c>
    </row>
    <row r="464" spans="1:13" x14ac:dyDescent="0.25">
      <c r="A464" t="s">
        <v>477</v>
      </c>
      <c r="B464" t="s">
        <v>9</v>
      </c>
      <c r="C464">
        <v>6000</v>
      </c>
      <c r="D464">
        <v>11.91</v>
      </c>
      <c r="E464">
        <v>12.6</v>
      </c>
      <c r="F464">
        <v>0</v>
      </c>
      <c r="G464" t="s">
        <v>2</v>
      </c>
      <c r="H464">
        <v>3</v>
      </c>
      <c r="I464">
        <v>134797</v>
      </c>
      <c r="J464">
        <v>560</v>
      </c>
      <c r="K464" t="str" cm="1">
        <f t="array" ref="K464">_xlfn.IFS(J464&lt;600,"520-599",J464&lt;650,"600-649",J464&lt;700,"650-699",J464&lt;750,"700-749",TRUE,"750+")</f>
        <v>520-599</v>
      </c>
      <c r="L464" t="str" cm="1">
        <f t="array" ref="L464">_xlfn.IFS(E464&lt;20,"1. Under 20",E464&lt;30,"2. 20-29",E464&lt;40,"3. 30-39",E464&lt;50,"4. 40-49",E464&lt;60,"5. 50-59",E464&lt;70,"6. 60-69",E464&lt;80,"7. 70-79",TRUE,"8. 80+")</f>
        <v>1. Under 20</v>
      </c>
      <c r="M464" t="str">
        <f t="shared" si="7"/>
        <v>2+ years</v>
      </c>
    </row>
    <row r="465" spans="1:13" x14ac:dyDescent="0.25">
      <c r="A465" t="s">
        <v>478</v>
      </c>
      <c r="B465" t="s">
        <v>9</v>
      </c>
      <c r="C465">
        <v>13900</v>
      </c>
      <c r="D465">
        <v>6.83</v>
      </c>
      <c r="E465">
        <v>35.700000000000003</v>
      </c>
      <c r="F465">
        <v>0</v>
      </c>
      <c r="G465" t="s">
        <v>7</v>
      </c>
      <c r="H465">
        <v>0</v>
      </c>
      <c r="I465">
        <v>84953</v>
      </c>
      <c r="J465">
        <v>850</v>
      </c>
      <c r="K465" t="str" cm="1">
        <f t="array" ref="K465">_xlfn.IFS(J465&lt;600,"520-599",J465&lt;650,"600-649",J465&lt;700,"650-699",J465&lt;750,"700-749",TRUE,"750+")</f>
        <v>750+</v>
      </c>
      <c r="L465" t="str" cm="1">
        <f t="array" ref="L465">_xlfn.IFS(E465&lt;20,"1. Under 20",E465&lt;30,"2. 20-29",E465&lt;40,"3. 30-39",E465&lt;50,"4. 40-49",E465&lt;60,"5. 50-59",E465&lt;70,"6. 60-69",E465&lt;80,"7. 70-79",TRUE,"8. 80+")</f>
        <v>3. 30-39</v>
      </c>
      <c r="M465" t="str">
        <f t="shared" si="7"/>
        <v>Under 2 years</v>
      </c>
    </row>
    <row r="466" spans="1:13" x14ac:dyDescent="0.25">
      <c r="A466" t="s">
        <v>479</v>
      </c>
      <c r="B466" t="s">
        <v>26</v>
      </c>
      <c r="C466">
        <v>9100</v>
      </c>
      <c r="D466">
        <v>10.78</v>
      </c>
      <c r="E466">
        <v>54.5</v>
      </c>
      <c r="F466">
        <v>1</v>
      </c>
      <c r="G466" t="s">
        <v>7</v>
      </c>
      <c r="H466">
        <v>32</v>
      </c>
      <c r="I466">
        <v>93595</v>
      </c>
      <c r="J466">
        <v>593</v>
      </c>
      <c r="K466" t="str" cm="1">
        <f t="array" ref="K466">_xlfn.IFS(J466&lt;600,"520-599",J466&lt;650,"600-649",J466&lt;700,"650-699",J466&lt;750,"700-749",TRUE,"750+")</f>
        <v>520-599</v>
      </c>
      <c r="L466" t="str" cm="1">
        <f t="array" ref="L466">_xlfn.IFS(E466&lt;20,"1. Under 20",E466&lt;30,"2. 20-29",E466&lt;40,"3. 30-39",E466&lt;50,"4. 40-49",E466&lt;60,"5. 50-59",E466&lt;70,"6. 60-69",E466&lt;80,"7. 70-79",TRUE,"8. 80+")</f>
        <v>5. 50-59</v>
      </c>
      <c r="M466" t="str">
        <f t="shared" si="7"/>
        <v>2+ years</v>
      </c>
    </row>
    <row r="467" spans="1:13" x14ac:dyDescent="0.25">
      <c r="A467" t="s">
        <v>480</v>
      </c>
      <c r="B467" t="s">
        <v>15</v>
      </c>
      <c r="C467">
        <v>31600</v>
      </c>
      <c r="D467">
        <v>14.44</v>
      </c>
      <c r="E467">
        <v>80.7</v>
      </c>
      <c r="F467">
        <v>1</v>
      </c>
      <c r="G467" t="s">
        <v>7</v>
      </c>
      <c r="H467">
        <v>32</v>
      </c>
      <c r="I467">
        <v>93595</v>
      </c>
      <c r="J467">
        <v>593</v>
      </c>
      <c r="K467" t="str" cm="1">
        <f t="array" ref="K467">_xlfn.IFS(J467&lt;600,"520-599",J467&lt;650,"600-649",J467&lt;700,"650-699",J467&lt;750,"700-749",TRUE,"750+")</f>
        <v>520-599</v>
      </c>
      <c r="L467" t="str" cm="1">
        <f t="array" ref="L467">_xlfn.IFS(E467&lt;20,"1. Under 20",E467&lt;30,"2. 20-29",E467&lt;40,"3. 30-39",E467&lt;50,"4. 40-49",E467&lt;60,"5. 50-59",E467&lt;70,"6. 60-69",E467&lt;80,"7. 70-79",TRUE,"8. 80+")</f>
        <v>8. 80+</v>
      </c>
      <c r="M467" t="str">
        <f t="shared" si="7"/>
        <v>2+ years</v>
      </c>
    </row>
    <row r="468" spans="1:13" x14ac:dyDescent="0.25">
      <c r="A468" t="s">
        <v>481</v>
      </c>
      <c r="B468" t="s">
        <v>19</v>
      </c>
      <c r="C468">
        <v>8800</v>
      </c>
      <c r="D468">
        <v>9.35</v>
      </c>
      <c r="E468">
        <v>36.200000000000003</v>
      </c>
      <c r="F468">
        <v>0</v>
      </c>
      <c r="G468" t="s">
        <v>7</v>
      </c>
      <c r="H468">
        <v>12</v>
      </c>
      <c r="I468">
        <v>31657</v>
      </c>
      <c r="J468">
        <v>792</v>
      </c>
      <c r="K468" t="str" cm="1">
        <f t="array" ref="K468">_xlfn.IFS(J468&lt;600,"520-599",J468&lt;650,"600-649",J468&lt;700,"650-699",J468&lt;750,"700-749",TRUE,"750+")</f>
        <v>750+</v>
      </c>
      <c r="L468" t="str" cm="1">
        <f t="array" ref="L468">_xlfn.IFS(E468&lt;20,"1. Under 20",E468&lt;30,"2. 20-29",E468&lt;40,"3. 30-39",E468&lt;50,"4. 40-49",E468&lt;60,"5. 50-59",E468&lt;70,"6. 60-69",E468&lt;80,"7. 70-79",TRUE,"8. 80+")</f>
        <v>3. 30-39</v>
      </c>
      <c r="M468" t="str">
        <f t="shared" si="7"/>
        <v>2+ years</v>
      </c>
    </row>
    <row r="469" spans="1:13" x14ac:dyDescent="0.25">
      <c r="A469" t="s">
        <v>482</v>
      </c>
      <c r="B469" t="s">
        <v>4</v>
      </c>
      <c r="C469">
        <v>45000</v>
      </c>
      <c r="D469">
        <v>9.1999999999999993</v>
      </c>
      <c r="E469">
        <v>72.5</v>
      </c>
      <c r="F469">
        <v>0</v>
      </c>
      <c r="G469" t="s">
        <v>2</v>
      </c>
      <c r="H469">
        <v>0</v>
      </c>
      <c r="I469">
        <v>95840</v>
      </c>
      <c r="J469">
        <v>660</v>
      </c>
      <c r="K469" t="str" cm="1">
        <f t="array" ref="K469">_xlfn.IFS(J469&lt;600,"520-599",J469&lt;650,"600-649",J469&lt;700,"650-699",J469&lt;750,"700-749",TRUE,"750+")</f>
        <v>650-699</v>
      </c>
      <c r="L469" t="str" cm="1">
        <f t="array" ref="L469">_xlfn.IFS(E469&lt;20,"1. Under 20",E469&lt;30,"2. 20-29",E469&lt;40,"3. 30-39",E469&lt;50,"4. 40-49",E469&lt;60,"5. 50-59",E469&lt;70,"6. 60-69",E469&lt;80,"7. 70-79",TRUE,"8. 80+")</f>
        <v>7. 70-79</v>
      </c>
      <c r="M469" t="str">
        <f t="shared" si="7"/>
        <v>Under 2 years</v>
      </c>
    </row>
    <row r="470" spans="1:13" x14ac:dyDescent="0.25">
      <c r="A470" t="s">
        <v>483</v>
      </c>
      <c r="B470" t="s">
        <v>26</v>
      </c>
      <c r="C470">
        <v>5800</v>
      </c>
      <c r="D470">
        <v>12.35</v>
      </c>
      <c r="E470">
        <v>57.8</v>
      </c>
      <c r="F470">
        <v>1</v>
      </c>
      <c r="G470" t="s">
        <v>29</v>
      </c>
      <c r="H470">
        <v>6</v>
      </c>
      <c r="I470">
        <v>54199</v>
      </c>
      <c r="J470">
        <v>568</v>
      </c>
      <c r="K470" t="str" cm="1">
        <f t="array" ref="K470">_xlfn.IFS(J470&lt;600,"520-599",J470&lt;650,"600-649",J470&lt;700,"650-699",J470&lt;750,"700-749",TRUE,"750+")</f>
        <v>520-599</v>
      </c>
      <c r="L470" t="str" cm="1">
        <f t="array" ref="L470">_xlfn.IFS(E470&lt;20,"1. Under 20",E470&lt;30,"2. 20-29",E470&lt;40,"3. 30-39",E470&lt;50,"4. 40-49",E470&lt;60,"5. 50-59",E470&lt;70,"6. 60-69",E470&lt;80,"7. 70-79",TRUE,"8. 80+")</f>
        <v>5. 50-59</v>
      </c>
      <c r="M470" t="str">
        <f t="shared" si="7"/>
        <v>2+ years</v>
      </c>
    </row>
    <row r="471" spans="1:13" x14ac:dyDescent="0.25">
      <c r="A471" t="s">
        <v>484</v>
      </c>
      <c r="B471" t="s">
        <v>15</v>
      </c>
      <c r="C471">
        <v>35100</v>
      </c>
      <c r="D471">
        <v>14.46</v>
      </c>
      <c r="E471">
        <v>63.5</v>
      </c>
      <c r="F471">
        <v>0</v>
      </c>
      <c r="G471" t="s">
        <v>7</v>
      </c>
      <c r="H471">
        <v>9</v>
      </c>
      <c r="I471">
        <v>66968</v>
      </c>
      <c r="J471">
        <v>555</v>
      </c>
      <c r="K471" t="str" cm="1">
        <f t="array" ref="K471">_xlfn.IFS(J471&lt;600,"520-599",J471&lt;650,"600-649",J471&lt;700,"650-699",J471&lt;750,"700-749",TRUE,"750+")</f>
        <v>520-599</v>
      </c>
      <c r="L471" t="str" cm="1">
        <f t="array" ref="L471">_xlfn.IFS(E471&lt;20,"1. Under 20",E471&lt;30,"2. 20-29",E471&lt;40,"3. 30-39",E471&lt;50,"4. 40-49",E471&lt;60,"5. 50-59",E471&lt;70,"6. 60-69",E471&lt;80,"7. 70-79",TRUE,"8. 80+")</f>
        <v>6. 60-69</v>
      </c>
      <c r="M471" t="str">
        <f t="shared" si="7"/>
        <v>2+ years</v>
      </c>
    </row>
    <row r="472" spans="1:13" x14ac:dyDescent="0.25">
      <c r="A472" t="s">
        <v>485</v>
      </c>
      <c r="B472" t="s">
        <v>17</v>
      </c>
      <c r="C472">
        <v>8300</v>
      </c>
      <c r="D472">
        <v>10.6</v>
      </c>
      <c r="E472">
        <v>40</v>
      </c>
      <c r="F472">
        <v>1</v>
      </c>
      <c r="G472" t="s">
        <v>10</v>
      </c>
      <c r="H472">
        <v>2</v>
      </c>
      <c r="I472">
        <v>55429</v>
      </c>
      <c r="J472">
        <v>600</v>
      </c>
      <c r="K472" t="str" cm="1">
        <f t="array" ref="K472">_xlfn.IFS(J472&lt;600,"520-599",J472&lt;650,"600-649",J472&lt;700,"650-699",J472&lt;750,"700-749",TRUE,"750+")</f>
        <v>600-649</v>
      </c>
      <c r="L472" t="str" cm="1">
        <f t="array" ref="L472">_xlfn.IFS(E472&lt;20,"1. Under 20",E472&lt;30,"2. 20-29",E472&lt;40,"3. 30-39",E472&lt;50,"4. 40-49",E472&lt;60,"5. 50-59",E472&lt;70,"6. 60-69",E472&lt;80,"7. 70-79",TRUE,"8. 80+")</f>
        <v>4. 40-49</v>
      </c>
      <c r="M472" t="str">
        <f t="shared" si="7"/>
        <v>2+ years</v>
      </c>
    </row>
    <row r="473" spans="1:13" x14ac:dyDescent="0.25">
      <c r="A473" t="s">
        <v>486</v>
      </c>
      <c r="B473" t="s">
        <v>17</v>
      </c>
      <c r="C473">
        <v>26300</v>
      </c>
      <c r="D473">
        <v>11.46</v>
      </c>
      <c r="E473">
        <v>75.599999999999994</v>
      </c>
      <c r="F473">
        <v>0</v>
      </c>
      <c r="G473" t="s">
        <v>10</v>
      </c>
      <c r="H473">
        <v>25</v>
      </c>
      <c r="I473">
        <v>28837</v>
      </c>
      <c r="J473">
        <v>730</v>
      </c>
      <c r="K473" t="str" cm="1">
        <f t="array" ref="K473">_xlfn.IFS(J473&lt;600,"520-599",J473&lt;650,"600-649",J473&lt;700,"650-699",J473&lt;750,"700-749",TRUE,"750+")</f>
        <v>700-749</v>
      </c>
      <c r="L473" t="str" cm="1">
        <f t="array" ref="L473">_xlfn.IFS(E473&lt;20,"1. Under 20",E473&lt;30,"2. 20-29",E473&lt;40,"3. 30-39",E473&lt;50,"4. 40-49",E473&lt;60,"5. 50-59",E473&lt;70,"6. 60-69",E473&lt;80,"7. 70-79",TRUE,"8. 80+")</f>
        <v>7. 70-79</v>
      </c>
      <c r="M473" t="str">
        <f t="shared" si="7"/>
        <v>2+ years</v>
      </c>
    </row>
    <row r="474" spans="1:13" x14ac:dyDescent="0.25">
      <c r="A474" t="s">
        <v>487</v>
      </c>
      <c r="B474" t="s">
        <v>4</v>
      </c>
      <c r="C474">
        <v>8500</v>
      </c>
      <c r="D474">
        <v>12.71</v>
      </c>
      <c r="E474">
        <v>47.5</v>
      </c>
      <c r="F474">
        <v>0</v>
      </c>
      <c r="G474" t="s">
        <v>10</v>
      </c>
      <c r="H474">
        <v>25</v>
      </c>
      <c r="I474">
        <v>28837</v>
      </c>
      <c r="J474">
        <v>730</v>
      </c>
      <c r="K474" t="str" cm="1">
        <f t="array" ref="K474">_xlfn.IFS(J474&lt;600,"520-599",J474&lt;650,"600-649",J474&lt;700,"650-699",J474&lt;750,"700-749",TRUE,"750+")</f>
        <v>700-749</v>
      </c>
      <c r="L474" t="str" cm="1">
        <f t="array" ref="L474">_xlfn.IFS(E474&lt;20,"1. Under 20",E474&lt;30,"2. 20-29",E474&lt;40,"3. 30-39",E474&lt;50,"4. 40-49",E474&lt;60,"5. 50-59",E474&lt;70,"6. 60-69",E474&lt;80,"7. 70-79",TRUE,"8. 80+")</f>
        <v>4. 40-49</v>
      </c>
      <c r="M474" t="str">
        <f t="shared" si="7"/>
        <v>2+ years</v>
      </c>
    </row>
    <row r="475" spans="1:13" x14ac:dyDescent="0.25">
      <c r="A475" t="s">
        <v>488</v>
      </c>
      <c r="B475" t="s">
        <v>4</v>
      </c>
      <c r="C475">
        <v>47700</v>
      </c>
      <c r="D475">
        <v>10.97</v>
      </c>
      <c r="E475">
        <v>122</v>
      </c>
      <c r="F475">
        <v>0</v>
      </c>
      <c r="G475" t="s">
        <v>23</v>
      </c>
      <c r="H475">
        <v>8</v>
      </c>
      <c r="I475">
        <v>67635</v>
      </c>
      <c r="J475">
        <v>592</v>
      </c>
      <c r="K475" t="str" cm="1">
        <f t="array" ref="K475">_xlfn.IFS(J475&lt;600,"520-599",J475&lt;650,"600-649",J475&lt;700,"650-699",J475&lt;750,"700-749",TRUE,"750+")</f>
        <v>520-599</v>
      </c>
      <c r="L475" t="str" cm="1">
        <f t="array" ref="L475">_xlfn.IFS(E475&lt;20,"1. Under 20",E475&lt;30,"2. 20-29",E475&lt;40,"3. 30-39",E475&lt;50,"4. 40-49",E475&lt;60,"5. 50-59",E475&lt;70,"6. 60-69",E475&lt;80,"7. 70-79",TRUE,"8. 80+")</f>
        <v>8. 80+</v>
      </c>
      <c r="M475" t="str">
        <f t="shared" si="7"/>
        <v>2+ years</v>
      </c>
    </row>
    <row r="476" spans="1:13" x14ac:dyDescent="0.25">
      <c r="A476" t="s">
        <v>489</v>
      </c>
      <c r="B476" t="s">
        <v>19</v>
      </c>
      <c r="C476">
        <v>21100</v>
      </c>
      <c r="D476">
        <v>11.78</v>
      </c>
      <c r="E476">
        <v>17.5</v>
      </c>
      <c r="F476">
        <v>0</v>
      </c>
      <c r="G476" t="s">
        <v>23</v>
      </c>
      <c r="H476">
        <v>2</v>
      </c>
      <c r="I476">
        <v>50481</v>
      </c>
      <c r="J476">
        <v>754</v>
      </c>
      <c r="K476" t="str" cm="1">
        <f t="array" ref="K476">_xlfn.IFS(J476&lt;600,"520-599",J476&lt;650,"600-649",J476&lt;700,"650-699",J476&lt;750,"700-749",TRUE,"750+")</f>
        <v>750+</v>
      </c>
      <c r="L476" t="str" cm="1">
        <f t="array" ref="L476">_xlfn.IFS(E476&lt;20,"1. Under 20",E476&lt;30,"2. 20-29",E476&lt;40,"3. 30-39",E476&lt;50,"4. 40-49",E476&lt;60,"5. 50-59",E476&lt;70,"6. 60-69",E476&lt;80,"7. 70-79",TRUE,"8. 80+")</f>
        <v>1. Under 20</v>
      </c>
      <c r="M476" t="str">
        <f t="shared" si="7"/>
        <v>2+ years</v>
      </c>
    </row>
    <row r="477" spans="1:13" x14ac:dyDescent="0.25">
      <c r="A477" t="s">
        <v>490</v>
      </c>
      <c r="B477" t="s">
        <v>4</v>
      </c>
      <c r="C477">
        <v>11900</v>
      </c>
      <c r="D477">
        <v>7.52</v>
      </c>
      <c r="E477">
        <v>17.600000000000001</v>
      </c>
      <c r="F477">
        <v>0</v>
      </c>
      <c r="G477" t="s">
        <v>2</v>
      </c>
      <c r="H477">
        <v>31</v>
      </c>
      <c r="I477">
        <v>131113</v>
      </c>
      <c r="J477">
        <v>797</v>
      </c>
      <c r="K477" t="str" cm="1">
        <f t="array" ref="K477">_xlfn.IFS(J477&lt;600,"520-599",J477&lt;650,"600-649",J477&lt;700,"650-699",J477&lt;750,"700-749",TRUE,"750+")</f>
        <v>750+</v>
      </c>
      <c r="L477" t="str" cm="1">
        <f t="array" ref="L477">_xlfn.IFS(E477&lt;20,"1. Under 20",E477&lt;30,"2. 20-29",E477&lt;40,"3. 30-39",E477&lt;50,"4. 40-49",E477&lt;60,"5. 50-59",E477&lt;70,"6. 60-69",E477&lt;80,"7. 70-79",TRUE,"8. 80+")</f>
        <v>1. Under 20</v>
      </c>
      <c r="M477" t="str">
        <f t="shared" si="7"/>
        <v>2+ years</v>
      </c>
    </row>
    <row r="478" spans="1:13" x14ac:dyDescent="0.25">
      <c r="A478" t="s">
        <v>491</v>
      </c>
      <c r="B478" t="s">
        <v>6</v>
      </c>
      <c r="C478">
        <v>27200</v>
      </c>
      <c r="D478">
        <v>10.43</v>
      </c>
      <c r="E478">
        <v>48.4</v>
      </c>
      <c r="F478">
        <v>0</v>
      </c>
      <c r="G478" t="s">
        <v>2</v>
      </c>
      <c r="H478">
        <v>14</v>
      </c>
      <c r="I478">
        <v>60720</v>
      </c>
      <c r="J478">
        <v>830</v>
      </c>
      <c r="K478" t="str" cm="1">
        <f t="array" ref="K478">_xlfn.IFS(J478&lt;600,"520-599",J478&lt;650,"600-649",J478&lt;700,"650-699",J478&lt;750,"700-749",TRUE,"750+")</f>
        <v>750+</v>
      </c>
      <c r="L478" t="str" cm="1">
        <f t="array" ref="L478">_xlfn.IFS(E478&lt;20,"1. Under 20",E478&lt;30,"2. 20-29",E478&lt;40,"3. 30-39",E478&lt;50,"4. 40-49",E478&lt;60,"5. 50-59",E478&lt;70,"6. 60-69",E478&lt;80,"7. 70-79",TRUE,"8. 80+")</f>
        <v>4. 40-49</v>
      </c>
      <c r="M478" t="str">
        <f t="shared" si="7"/>
        <v>2+ years</v>
      </c>
    </row>
    <row r="479" spans="1:13" x14ac:dyDescent="0.25">
      <c r="A479" t="s">
        <v>492</v>
      </c>
      <c r="B479" t="s">
        <v>19</v>
      </c>
      <c r="C479">
        <v>32700</v>
      </c>
      <c r="D479">
        <v>13.44</v>
      </c>
      <c r="E479">
        <v>24.4</v>
      </c>
      <c r="F479">
        <v>0</v>
      </c>
      <c r="G479" t="s">
        <v>7</v>
      </c>
      <c r="H479">
        <v>30</v>
      </c>
      <c r="I479">
        <v>111374</v>
      </c>
      <c r="J479">
        <v>672</v>
      </c>
      <c r="K479" t="str" cm="1">
        <f t="array" ref="K479">_xlfn.IFS(J479&lt;600,"520-599",J479&lt;650,"600-649",J479&lt;700,"650-699",J479&lt;750,"700-749",TRUE,"750+")</f>
        <v>650-699</v>
      </c>
      <c r="L479" t="str" cm="1">
        <f t="array" ref="L479">_xlfn.IFS(E479&lt;20,"1. Under 20",E479&lt;30,"2. 20-29",E479&lt;40,"3. 30-39",E479&lt;50,"4. 40-49",E479&lt;60,"5. 50-59",E479&lt;70,"6. 60-69",E479&lt;80,"7. 70-79",TRUE,"8. 80+")</f>
        <v>2. 20-29</v>
      </c>
      <c r="M479" t="str">
        <f t="shared" si="7"/>
        <v>2+ years</v>
      </c>
    </row>
    <row r="480" spans="1:13" x14ac:dyDescent="0.25">
      <c r="A480" t="s">
        <v>493</v>
      </c>
      <c r="B480" t="s">
        <v>19</v>
      </c>
      <c r="C480">
        <v>2000</v>
      </c>
      <c r="D480">
        <v>13.08</v>
      </c>
      <c r="E480">
        <v>15.9</v>
      </c>
      <c r="F480">
        <v>0</v>
      </c>
      <c r="G480" t="s">
        <v>23</v>
      </c>
      <c r="H480">
        <v>32</v>
      </c>
      <c r="I480">
        <v>30579</v>
      </c>
      <c r="J480">
        <v>605</v>
      </c>
      <c r="K480" t="str" cm="1">
        <f t="array" ref="K480">_xlfn.IFS(J480&lt;600,"520-599",J480&lt;650,"600-649",J480&lt;700,"650-699",J480&lt;750,"700-749",TRUE,"750+")</f>
        <v>600-649</v>
      </c>
      <c r="L480" t="str" cm="1">
        <f t="array" ref="L480">_xlfn.IFS(E480&lt;20,"1. Under 20",E480&lt;30,"2. 20-29",E480&lt;40,"3. 30-39",E480&lt;50,"4. 40-49",E480&lt;60,"5. 50-59",E480&lt;70,"6. 60-69",E480&lt;80,"7. 70-79",TRUE,"8. 80+")</f>
        <v>1. Under 20</v>
      </c>
      <c r="M480" t="str">
        <f t="shared" si="7"/>
        <v>2+ years</v>
      </c>
    </row>
    <row r="481" spans="1:13" x14ac:dyDescent="0.25">
      <c r="A481" t="s">
        <v>494</v>
      </c>
      <c r="B481" t="s">
        <v>9</v>
      </c>
      <c r="C481">
        <v>15700</v>
      </c>
      <c r="D481">
        <v>11.39</v>
      </c>
      <c r="E481">
        <v>26.8</v>
      </c>
      <c r="F481">
        <v>0</v>
      </c>
      <c r="G481" t="s">
        <v>23</v>
      </c>
      <c r="H481">
        <v>32</v>
      </c>
      <c r="I481">
        <v>30579</v>
      </c>
      <c r="J481">
        <v>605</v>
      </c>
      <c r="K481" t="str" cm="1">
        <f t="array" ref="K481">_xlfn.IFS(J481&lt;600,"520-599",J481&lt;650,"600-649",J481&lt;700,"650-699",J481&lt;750,"700-749",TRUE,"750+")</f>
        <v>600-649</v>
      </c>
      <c r="L481" t="str" cm="1">
        <f t="array" ref="L481">_xlfn.IFS(E481&lt;20,"1. Under 20",E481&lt;30,"2. 20-29",E481&lt;40,"3. 30-39",E481&lt;50,"4. 40-49",E481&lt;60,"5. 50-59",E481&lt;70,"6. 60-69",E481&lt;80,"7. 70-79",TRUE,"8. 80+")</f>
        <v>2. 20-29</v>
      </c>
      <c r="M481" t="str">
        <f t="shared" si="7"/>
        <v>2+ years</v>
      </c>
    </row>
    <row r="482" spans="1:13" x14ac:dyDescent="0.25">
      <c r="A482" t="s">
        <v>495</v>
      </c>
      <c r="B482" t="s">
        <v>9</v>
      </c>
      <c r="C482">
        <v>21100</v>
      </c>
      <c r="D482">
        <v>10.14</v>
      </c>
      <c r="E482">
        <v>29.5</v>
      </c>
      <c r="F482">
        <v>0</v>
      </c>
      <c r="G482" t="s">
        <v>7</v>
      </c>
      <c r="H482">
        <v>14</v>
      </c>
      <c r="I482">
        <v>42250</v>
      </c>
      <c r="J482">
        <v>789</v>
      </c>
      <c r="K482" t="str" cm="1">
        <f t="array" ref="K482">_xlfn.IFS(J482&lt;600,"520-599",J482&lt;650,"600-649",J482&lt;700,"650-699",J482&lt;750,"700-749",TRUE,"750+")</f>
        <v>750+</v>
      </c>
      <c r="L482" t="str" cm="1">
        <f t="array" ref="L482">_xlfn.IFS(E482&lt;20,"1. Under 20",E482&lt;30,"2. 20-29",E482&lt;40,"3. 30-39",E482&lt;50,"4. 40-49",E482&lt;60,"5. 50-59",E482&lt;70,"6. 60-69",E482&lt;80,"7. 70-79",TRUE,"8. 80+")</f>
        <v>2. 20-29</v>
      </c>
      <c r="M482" t="str">
        <f t="shared" si="7"/>
        <v>2+ years</v>
      </c>
    </row>
    <row r="483" spans="1:13" x14ac:dyDescent="0.25">
      <c r="A483" t="s">
        <v>496</v>
      </c>
      <c r="B483" t="s">
        <v>26</v>
      </c>
      <c r="C483">
        <v>20300</v>
      </c>
      <c r="D483">
        <v>8.6199999999999992</v>
      </c>
      <c r="E483">
        <v>49.5</v>
      </c>
      <c r="F483">
        <v>0</v>
      </c>
      <c r="G483" t="s">
        <v>23</v>
      </c>
      <c r="H483">
        <v>28</v>
      </c>
      <c r="I483">
        <v>25418</v>
      </c>
      <c r="J483">
        <v>780</v>
      </c>
      <c r="K483" t="str" cm="1">
        <f t="array" ref="K483">_xlfn.IFS(J483&lt;600,"520-599",J483&lt;650,"600-649",J483&lt;700,"650-699",J483&lt;750,"700-749",TRUE,"750+")</f>
        <v>750+</v>
      </c>
      <c r="L483" t="str" cm="1">
        <f t="array" ref="L483">_xlfn.IFS(E483&lt;20,"1. Under 20",E483&lt;30,"2. 20-29",E483&lt;40,"3. 30-39",E483&lt;50,"4. 40-49",E483&lt;60,"5. 50-59",E483&lt;70,"6. 60-69",E483&lt;80,"7. 70-79",TRUE,"8. 80+")</f>
        <v>4. 40-49</v>
      </c>
      <c r="M483" t="str">
        <f t="shared" si="7"/>
        <v>2+ years</v>
      </c>
    </row>
    <row r="484" spans="1:13" x14ac:dyDescent="0.25">
      <c r="A484" t="s">
        <v>497</v>
      </c>
      <c r="B484" t="s">
        <v>19</v>
      </c>
      <c r="C484">
        <v>12500</v>
      </c>
      <c r="D484">
        <v>14.99</v>
      </c>
      <c r="E484">
        <v>82</v>
      </c>
      <c r="F484">
        <v>1</v>
      </c>
      <c r="G484" t="s">
        <v>23</v>
      </c>
      <c r="H484">
        <v>25</v>
      </c>
      <c r="I484">
        <v>22335</v>
      </c>
      <c r="J484">
        <v>571</v>
      </c>
      <c r="K484" t="str" cm="1">
        <f t="array" ref="K484">_xlfn.IFS(J484&lt;600,"520-599",J484&lt;650,"600-649",J484&lt;700,"650-699",J484&lt;750,"700-749",TRUE,"750+")</f>
        <v>520-599</v>
      </c>
      <c r="L484" t="str" cm="1">
        <f t="array" ref="L484">_xlfn.IFS(E484&lt;20,"1. Under 20",E484&lt;30,"2. 20-29",E484&lt;40,"3. 30-39",E484&lt;50,"4. 40-49",E484&lt;60,"5. 50-59",E484&lt;70,"6. 60-69",E484&lt;80,"7. 70-79",TRUE,"8. 80+")</f>
        <v>8. 80+</v>
      </c>
      <c r="M484" t="str">
        <f t="shared" si="7"/>
        <v>2+ years</v>
      </c>
    </row>
    <row r="485" spans="1:13" x14ac:dyDescent="0.25">
      <c r="A485" t="s">
        <v>498</v>
      </c>
      <c r="B485" t="s">
        <v>15</v>
      </c>
      <c r="C485">
        <v>20000</v>
      </c>
      <c r="D485">
        <v>11.22</v>
      </c>
      <c r="E485">
        <v>48.3</v>
      </c>
      <c r="F485">
        <v>0</v>
      </c>
      <c r="G485" t="s">
        <v>2</v>
      </c>
      <c r="H485">
        <v>3</v>
      </c>
      <c r="I485">
        <v>73306</v>
      </c>
      <c r="J485">
        <v>721</v>
      </c>
      <c r="K485" t="str" cm="1">
        <f t="array" ref="K485">_xlfn.IFS(J485&lt;600,"520-599",J485&lt;650,"600-649",J485&lt;700,"650-699",J485&lt;750,"700-749",TRUE,"750+")</f>
        <v>700-749</v>
      </c>
      <c r="L485" t="str" cm="1">
        <f t="array" ref="L485">_xlfn.IFS(E485&lt;20,"1. Under 20",E485&lt;30,"2. 20-29",E485&lt;40,"3. 30-39",E485&lt;50,"4. 40-49",E485&lt;60,"5. 50-59",E485&lt;70,"6. 60-69",E485&lt;80,"7. 70-79",TRUE,"8. 80+")</f>
        <v>4. 40-49</v>
      </c>
      <c r="M485" t="str">
        <f t="shared" si="7"/>
        <v>2+ years</v>
      </c>
    </row>
    <row r="486" spans="1:13" x14ac:dyDescent="0.25">
      <c r="A486" t="s">
        <v>499</v>
      </c>
      <c r="B486" t="s">
        <v>19</v>
      </c>
      <c r="C486">
        <v>3600</v>
      </c>
      <c r="D486">
        <v>9.51</v>
      </c>
      <c r="E486">
        <v>25.2</v>
      </c>
      <c r="F486">
        <v>0</v>
      </c>
      <c r="G486" t="s">
        <v>2</v>
      </c>
      <c r="H486">
        <v>7</v>
      </c>
      <c r="I486">
        <v>63778</v>
      </c>
      <c r="J486">
        <v>766</v>
      </c>
      <c r="K486" t="str" cm="1">
        <f t="array" ref="K486">_xlfn.IFS(J486&lt;600,"520-599",J486&lt;650,"600-649",J486&lt;700,"650-699",J486&lt;750,"700-749",TRUE,"750+")</f>
        <v>750+</v>
      </c>
      <c r="L486" t="str" cm="1">
        <f t="array" ref="L486">_xlfn.IFS(E486&lt;20,"1. Under 20",E486&lt;30,"2. 20-29",E486&lt;40,"3. 30-39",E486&lt;50,"4. 40-49",E486&lt;60,"5. 50-59",E486&lt;70,"6. 60-69",E486&lt;80,"7. 70-79",TRUE,"8. 80+")</f>
        <v>2. 20-29</v>
      </c>
      <c r="M486" t="str">
        <f t="shared" si="7"/>
        <v>2+ years</v>
      </c>
    </row>
    <row r="487" spans="1:13" x14ac:dyDescent="0.25">
      <c r="A487" t="s">
        <v>500</v>
      </c>
      <c r="B487" t="s">
        <v>26</v>
      </c>
      <c r="C487">
        <v>20400</v>
      </c>
      <c r="D487">
        <v>14.07</v>
      </c>
      <c r="E487">
        <v>59</v>
      </c>
      <c r="F487">
        <v>1</v>
      </c>
      <c r="G487" t="s">
        <v>7</v>
      </c>
      <c r="H487">
        <v>2</v>
      </c>
      <c r="I487">
        <v>121047</v>
      </c>
      <c r="J487">
        <v>604</v>
      </c>
      <c r="K487" t="str" cm="1">
        <f t="array" ref="K487">_xlfn.IFS(J487&lt;600,"520-599",J487&lt;650,"600-649",J487&lt;700,"650-699",J487&lt;750,"700-749",TRUE,"750+")</f>
        <v>600-649</v>
      </c>
      <c r="L487" t="str" cm="1">
        <f t="array" ref="L487">_xlfn.IFS(E487&lt;20,"1. Under 20",E487&lt;30,"2. 20-29",E487&lt;40,"3. 30-39",E487&lt;50,"4. 40-49",E487&lt;60,"5. 50-59",E487&lt;70,"6. 60-69",E487&lt;80,"7. 70-79",TRUE,"8. 80+")</f>
        <v>5. 50-59</v>
      </c>
      <c r="M487" t="str">
        <f t="shared" si="7"/>
        <v>2+ years</v>
      </c>
    </row>
    <row r="488" spans="1:13" x14ac:dyDescent="0.25">
      <c r="A488" t="s">
        <v>501</v>
      </c>
      <c r="B488" t="s">
        <v>9</v>
      </c>
      <c r="C488">
        <v>32100</v>
      </c>
      <c r="D488">
        <v>13.9</v>
      </c>
      <c r="E488">
        <v>69.400000000000006</v>
      </c>
      <c r="F488">
        <v>0</v>
      </c>
      <c r="G488" t="s">
        <v>7</v>
      </c>
      <c r="H488">
        <v>2</v>
      </c>
      <c r="I488">
        <v>121047</v>
      </c>
      <c r="J488">
        <v>604</v>
      </c>
      <c r="K488" t="str" cm="1">
        <f t="array" ref="K488">_xlfn.IFS(J488&lt;600,"520-599",J488&lt;650,"600-649",J488&lt;700,"650-699",J488&lt;750,"700-749",TRUE,"750+")</f>
        <v>600-649</v>
      </c>
      <c r="L488" t="str" cm="1">
        <f t="array" ref="L488">_xlfn.IFS(E488&lt;20,"1. Under 20",E488&lt;30,"2. 20-29",E488&lt;40,"3. 30-39",E488&lt;50,"4. 40-49",E488&lt;60,"5. 50-59",E488&lt;70,"6. 60-69",E488&lt;80,"7. 70-79",TRUE,"8. 80+")</f>
        <v>6. 60-69</v>
      </c>
      <c r="M488" t="str">
        <f t="shared" si="7"/>
        <v>2+ years</v>
      </c>
    </row>
    <row r="489" spans="1:13" x14ac:dyDescent="0.25">
      <c r="A489" t="s">
        <v>502</v>
      </c>
      <c r="B489" t="s">
        <v>17</v>
      </c>
      <c r="C489">
        <v>14900</v>
      </c>
      <c r="D489">
        <v>14.61</v>
      </c>
      <c r="E489">
        <v>48.8</v>
      </c>
      <c r="F489">
        <v>1</v>
      </c>
      <c r="G489" t="s">
        <v>7</v>
      </c>
      <c r="H489">
        <v>25</v>
      </c>
      <c r="I489">
        <v>53099</v>
      </c>
      <c r="J489">
        <v>591</v>
      </c>
      <c r="K489" t="str" cm="1">
        <f t="array" ref="K489">_xlfn.IFS(J489&lt;600,"520-599",J489&lt;650,"600-649",J489&lt;700,"650-699",J489&lt;750,"700-749",TRUE,"750+")</f>
        <v>520-599</v>
      </c>
      <c r="L489" t="str" cm="1">
        <f t="array" ref="L489">_xlfn.IFS(E489&lt;20,"1. Under 20",E489&lt;30,"2. 20-29",E489&lt;40,"3. 30-39",E489&lt;50,"4. 40-49",E489&lt;60,"5. 50-59",E489&lt;70,"6. 60-69",E489&lt;80,"7. 70-79",TRUE,"8. 80+")</f>
        <v>4. 40-49</v>
      </c>
      <c r="M489" t="str">
        <f t="shared" si="7"/>
        <v>2+ years</v>
      </c>
    </row>
    <row r="490" spans="1:13" x14ac:dyDescent="0.25">
      <c r="A490" t="s">
        <v>503</v>
      </c>
      <c r="B490" t="s">
        <v>21</v>
      </c>
      <c r="C490">
        <v>14800</v>
      </c>
      <c r="D490">
        <v>6.52</v>
      </c>
      <c r="E490">
        <v>37.6</v>
      </c>
      <c r="F490">
        <v>1</v>
      </c>
      <c r="G490" t="s">
        <v>7</v>
      </c>
      <c r="H490">
        <v>1</v>
      </c>
      <c r="I490">
        <v>108932</v>
      </c>
      <c r="J490">
        <v>846</v>
      </c>
      <c r="K490" t="str" cm="1">
        <f t="array" ref="K490">_xlfn.IFS(J490&lt;600,"520-599",J490&lt;650,"600-649",J490&lt;700,"650-699",J490&lt;750,"700-749",TRUE,"750+")</f>
        <v>750+</v>
      </c>
      <c r="L490" t="str" cm="1">
        <f t="array" ref="L490">_xlfn.IFS(E490&lt;20,"1. Under 20",E490&lt;30,"2. 20-29",E490&lt;40,"3. 30-39",E490&lt;50,"4. 40-49",E490&lt;60,"5. 50-59",E490&lt;70,"6. 60-69",E490&lt;80,"7. 70-79",TRUE,"8. 80+")</f>
        <v>3. 30-39</v>
      </c>
      <c r="M490" t="str">
        <f t="shared" si="7"/>
        <v>Under 2 years</v>
      </c>
    </row>
    <row r="491" spans="1:13" x14ac:dyDescent="0.25">
      <c r="A491" t="s">
        <v>504</v>
      </c>
      <c r="B491" t="s">
        <v>4</v>
      </c>
      <c r="C491">
        <v>17800</v>
      </c>
      <c r="D491">
        <v>11.9</v>
      </c>
      <c r="E491">
        <v>90.2</v>
      </c>
      <c r="F491">
        <v>1</v>
      </c>
      <c r="G491" t="s">
        <v>7</v>
      </c>
      <c r="H491">
        <v>27</v>
      </c>
      <c r="I491">
        <v>41068</v>
      </c>
      <c r="J491">
        <v>554</v>
      </c>
      <c r="K491" t="str" cm="1">
        <f t="array" ref="K491">_xlfn.IFS(J491&lt;600,"520-599",J491&lt;650,"600-649",J491&lt;700,"650-699",J491&lt;750,"700-749",TRUE,"750+")</f>
        <v>520-599</v>
      </c>
      <c r="L491" t="str" cm="1">
        <f t="array" ref="L491">_xlfn.IFS(E491&lt;20,"1. Under 20",E491&lt;30,"2. 20-29",E491&lt;40,"3. 30-39",E491&lt;50,"4. 40-49",E491&lt;60,"5. 50-59",E491&lt;70,"6. 60-69",E491&lt;80,"7. 70-79",TRUE,"8. 80+")</f>
        <v>8. 80+</v>
      </c>
      <c r="M491" t="str">
        <f t="shared" si="7"/>
        <v>2+ years</v>
      </c>
    </row>
    <row r="492" spans="1:13" x14ac:dyDescent="0.25">
      <c r="A492" t="s">
        <v>505</v>
      </c>
      <c r="B492" t="s">
        <v>4</v>
      </c>
      <c r="C492">
        <v>36300</v>
      </c>
      <c r="D492">
        <v>12.58</v>
      </c>
      <c r="E492">
        <v>72.099999999999994</v>
      </c>
      <c r="F492">
        <v>1</v>
      </c>
      <c r="G492" t="s">
        <v>7</v>
      </c>
      <c r="H492">
        <v>6</v>
      </c>
      <c r="I492">
        <v>92612</v>
      </c>
      <c r="J492">
        <v>593</v>
      </c>
      <c r="K492" t="str" cm="1">
        <f t="array" ref="K492">_xlfn.IFS(J492&lt;600,"520-599",J492&lt;650,"600-649",J492&lt;700,"650-699",J492&lt;750,"700-749",TRUE,"750+")</f>
        <v>520-599</v>
      </c>
      <c r="L492" t="str" cm="1">
        <f t="array" ref="L492">_xlfn.IFS(E492&lt;20,"1. Under 20",E492&lt;30,"2. 20-29",E492&lt;40,"3. 30-39",E492&lt;50,"4. 40-49",E492&lt;60,"5. 50-59",E492&lt;70,"6. 60-69",E492&lt;80,"7. 70-79",TRUE,"8. 80+")</f>
        <v>7. 70-79</v>
      </c>
      <c r="M492" t="str">
        <f t="shared" si="7"/>
        <v>2+ years</v>
      </c>
    </row>
    <row r="493" spans="1:13" x14ac:dyDescent="0.25">
      <c r="A493" t="s">
        <v>506</v>
      </c>
      <c r="B493" t="s">
        <v>26</v>
      </c>
      <c r="C493">
        <v>13100</v>
      </c>
      <c r="D493">
        <v>13.53</v>
      </c>
      <c r="E493">
        <v>57.8</v>
      </c>
      <c r="F493">
        <v>1</v>
      </c>
      <c r="G493" t="s">
        <v>23</v>
      </c>
      <c r="H493">
        <v>8</v>
      </c>
      <c r="I493">
        <v>46630</v>
      </c>
      <c r="J493">
        <v>657</v>
      </c>
      <c r="K493" t="str" cm="1">
        <f t="array" ref="K493">_xlfn.IFS(J493&lt;600,"520-599",J493&lt;650,"600-649",J493&lt;700,"650-699",J493&lt;750,"700-749",TRUE,"750+")</f>
        <v>650-699</v>
      </c>
      <c r="L493" t="str" cm="1">
        <f t="array" ref="L493">_xlfn.IFS(E493&lt;20,"1. Under 20",E493&lt;30,"2. 20-29",E493&lt;40,"3. 30-39",E493&lt;50,"4. 40-49",E493&lt;60,"5. 50-59",E493&lt;70,"6. 60-69",E493&lt;80,"7. 70-79",TRUE,"8. 80+")</f>
        <v>5. 50-59</v>
      </c>
      <c r="M493" t="str">
        <f t="shared" si="7"/>
        <v>2+ years</v>
      </c>
    </row>
    <row r="494" spans="1:13" x14ac:dyDescent="0.25">
      <c r="A494" t="s">
        <v>507</v>
      </c>
      <c r="B494" t="s">
        <v>15</v>
      </c>
      <c r="C494">
        <v>6600</v>
      </c>
      <c r="D494">
        <v>10.01</v>
      </c>
      <c r="E494">
        <v>49.3</v>
      </c>
      <c r="F494">
        <v>0</v>
      </c>
      <c r="G494" t="s">
        <v>23</v>
      </c>
      <c r="H494">
        <v>4</v>
      </c>
      <c r="I494">
        <v>29481</v>
      </c>
      <c r="J494">
        <v>787</v>
      </c>
      <c r="K494" t="str" cm="1">
        <f t="array" ref="K494">_xlfn.IFS(J494&lt;600,"520-599",J494&lt;650,"600-649",J494&lt;700,"650-699",J494&lt;750,"700-749",TRUE,"750+")</f>
        <v>750+</v>
      </c>
      <c r="L494" t="str" cm="1">
        <f t="array" ref="L494">_xlfn.IFS(E494&lt;20,"1. Under 20",E494&lt;30,"2. 20-29",E494&lt;40,"3. 30-39",E494&lt;50,"4. 40-49",E494&lt;60,"5. 50-59",E494&lt;70,"6. 60-69",E494&lt;80,"7. 70-79",TRUE,"8. 80+")</f>
        <v>4. 40-49</v>
      </c>
      <c r="M494" t="str">
        <f t="shared" si="7"/>
        <v>2+ years</v>
      </c>
    </row>
    <row r="495" spans="1:13" x14ac:dyDescent="0.25">
      <c r="A495" t="s">
        <v>508</v>
      </c>
      <c r="B495" t="s">
        <v>9</v>
      </c>
      <c r="C495">
        <v>36100</v>
      </c>
      <c r="D495">
        <v>12.48</v>
      </c>
      <c r="E495">
        <v>85.5</v>
      </c>
      <c r="F495">
        <v>0</v>
      </c>
      <c r="G495" t="s">
        <v>7</v>
      </c>
      <c r="H495">
        <v>22</v>
      </c>
      <c r="I495">
        <v>80421</v>
      </c>
      <c r="J495">
        <v>688</v>
      </c>
      <c r="K495" t="str" cm="1">
        <f t="array" ref="K495">_xlfn.IFS(J495&lt;600,"520-599",J495&lt;650,"600-649",J495&lt;700,"650-699",J495&lt;750,"700-749",TRUE,"750+")</f>
        <v>650-699</v>
      </c>
      <c r="L495" t="str" cm="1">
        <f t="array" ref="L495">_xlfn.IFS(E495&lt;20,"1. Under 20",E495&lt;30,"2. 20-29",E495&lt;40,"3. 30-39",E495&lt;50,"4. 40-49",E495&lt;60,"5. 50-59",E495&lt;70,"6. 60-69",E495&lt;80,"7. 70-79",TRUE,"8. 80+")</f>
        <v>8. 80+</v>
      </c>
      <c r="M495" t="str">
        <f t="shared" si="7"/>
        <v>2+ years</v>
      </c>
    </row>
    <row r="496" spans="1:13" x14ac:dyDescent="0.25">
      <c r="A496" t="s">
        <v>509</v>
      </c>
      <c r="B496" t="s">
        <v>1</v>
      </c>
      <c r="C496">
        <v>7400</v>
      </c>
      <c r="D496">
        <v>14.9</v>
      </c>
      <c r="E496">
        <v>56.2</v>
      </c>
      <c r="F496">
        <v>1</v>
      </c>
      <c r="G496" t="s">
        <v>2</v>
      </c>
      <c r="H496">
        <v>12</v>
      </c>
      <c r="I496">
        <v>61167</v>
      </c>
      <c r="J496">
        <v>594</v>
      </c>
      <c r="K496" t="str" cm="1">
        <f t="array" ref="K496">_xlfn.IFS(J496&lt;600,"520-599",J496&lt;650,"600-649",J496&lt;700,"650-699",J496&lt;750,"700-749",TRUE,"750+")</f>
        <v>520-599</v>
      </c>
      <c r="L496" t="str" cm="1">
        <f t="array" ref="L496">_xlfn.IFS(E496&lt;20,"1. Under 20",E496&lt;30,"2. 20-29",E496&lt;40,"3. 30-39",E496&lt;50,"4. 40-49",E496&lt;60,"5. 50-59",E496&lt;70,"6. 60-69",E496&lt;80,"7. 70-79",TRUE,"8. 80+")</f>
        <v>5. 50-59</v>
      </c>
      <c r="M496" t="str">
        <f t="shared" si="7"/>
        <v>2+ years</v>
      </c>
    </row>
    <row r="497" spans="1:13" x14ac:dyDescent="0.25">
      <c r="A497" t="s">
        <v>510</v>
      </c>
      <c r="B497" t="s">
        <v>15</v>
      </c>
      <c r="C497">
        <v>18900</v>
      </c>
      <c r="D497">
        <v>10.69</v>
      </c>
      <c r="E497">
        <v>30.2</v>
      </c>
      <c r="F497">
        <v>0</v>
      </c>
      <c r="G497" t="s">
        <v>2</v>
      </c>
      <c r="H497">
        <v>27</v>
      </c>
      <c r="I497">
        <v>94280</v>
      </c>
      <c r="J497">
        <v>686</v>
      </c>
      <c r="K497" t="str" cm="1">
        <f t="array" ref="K497">_xlfn.IFS(J497&lt;600,"520-599",J497&lt;650,"600-649",J497&lt;700,"650-699",J497&lt;750,"700-749",TRUE,"750+")</f>
        <v>650-699</v>
      </c>
      <c r="L497" t="str" cm="1">
        <f t="array" ref="L497">_xlfn.IFS(E497&lt;20,"1. Under 20",E497&lt;30,"2. 20-29",E497&lt;40,"3. 30-39",E497&lt;50,"4. 40-49",E497&lt;60,"5. 50-59",E497&lt;70,"6. 60-69",E497&lt;80,"7. 70-79",TRUE,"8. 80+")</f>
        <v>3. 30-39</v>
      </c>
      <c r="M497" t="str">
        <f t="shared" si="7"/>
        <v>2+ years</v>
      </c>
    </row>
    <row r="498" spans="1:13" x14ac:dyDescent="0.25">
      <c r="A498" t="s">
        <v>511</v>
      </c>
      <c r="B498" t="s">
        <v>19</v>
      </c>
      <c r="C498">
        <v>28400</v>
      </c>
      <c r="D498">
        <v>11.24</v>
      </c>
      <c r="E498">
        <v>31.9</v>
      </c>
      <c r="F498">
        <v>0</v>
      </c>
      <c r="G498" t="s">
        <v>2</v>
      </c>
      <c r="H498">
        <v>27</v>
      </c>
      <c r="I498">
        <v>94280</v>
      </c>
      <c r="J498">
        <v>686</v>
      </c>
      <c r="K498" t="str" cm="1">
        <f t="array" ref="K498">_xlfn.IFS(J498&lt;600,"520-599",J498&lt;650,"600-649",J498&lt;700,"650-699",J498&lt;750,"700-749",TRUE,"750+")</f>
        <v>650-699</v>
      </c>
      <c r="L498" t="str" cm="1">
        <f t="array" ref="L498">_xlfn.IFS(E498&lt;20,"1. Under 20",E498&lt;30,"2. 20-29",E498&lt;40,"3. 30-39",E498&lt;50,"4. 40-49",E498&lt;60,"5. 50-59",E498&lt;70,"6. 60-69",E498&lt;80,"7. 70-79",TRUE,"8. 80+")</f>
        <v>3. 30-39</v>
      </c>
      <c r="M498" t="str">
        <f t="shared" si="7"/>
        <v>2+ years</v>
      </c>
    </row>
    <row r="499" spans="1:13" x14ac:dyDescent="0.25">
      <c r="A499" t="s">
        <v>512</v>
      </c>
      <c r="B499" t="s">
        <v>6</v>
      </c>
      <c r="C499">
        <v>35300</v>
      </c>
      <c r="D499">
        <v>13.15</v>
      </c>
      <c r="E499">
        <v>62.3</v>
      </c>
      <c r="F499">
        <v>0</v>
      </c>
      <c r="G499" t="s">
        <v>7</v>
      </c>
      <c r="H499">
        <v>2</v>
      </c>
      <c r="I499">
        <v>88461</v>
      </c>
      <c r="J499">
        <v>622</v>
      </c>
      <c r="K499" t="str" cm="1">
        <f t="array" ref="K499">_xlfn.IFS(J499&lt;600,"520-599",J499&lt;650,"600-649",J499&lt;700,"650-699",J499&lt;750,"700-749",TRUE,"750+")</f>
        <v>600-649</v>
      </c>
      <c r="L499" t="str" cm="1">
        <f t="array" ref="L499">_xlfn.IFS(E499&lt;20,"1. Under 20",E499&lt;30,"2. 20-29",E499&lt;40,"3. 30-39",E499&lt;50,"4. 40-49",E499&lt;60,"5. 50-59",E499&lt;70,"6. 60-69",E499&lt;80,"7. 70-79",TRUE,"8. 80+")</f>
        <v>6. 60-69</v>
      </c>
      <c r="M499" t="str">
        <f t="shared" si="7"/>
        <v>2+ years</v>
      </c>
    </row>
    <row r="500" spans="1:13" x14ac:dyDescent="0.25">
      <c r="A500" t="s">
        <v>513</v>
      </c>
      <c r="B500" t="s">
        <v>1</v>
      </c>
      <c r="C500">
        <v>46200</v>
      </c>
      <c r="D500">
        <v>11.87</v>
      </c>
      <c r="E500">
        <v>155.30000000000001</v>
      </c>
      <c r="F500">
        <v>0</v>
      </c>
      <c r="G500" t="s">
        <v>7</v>
      </c>
      <c r="H500">
        <v>3</v>
      </c>
      <c r="I500">
        <v>45971</v>
      </c>
      <c r="J500">
        <v>761</v>
      </c>
      <c r="K500" t="str" cm="1">
        <f t="array" ref="K500">_xlfn.IFS(J500&lt;600,"520-599",J500&lt;650,"600-649",J500&lt;700,"650-699",J500&lt;750,"700-749",TRUE,"750+")</f>
        <v>750+</v>
      </c>
      <c r="L500" t="str" cm="1">
        <f t="array" ref="L500">_xlfn.IFS(E500&lt;20,"1. Under 20",E500&lt;30,"2. 20-29",E500&lt;40,"3. 30-39",E500&lt;50,"4. 40-49",E500&lt;60,"5. 50-59",E500&lt;70,"6. 60-69",E500&lt;80,"7. 70-79",TRUE,"8. 80+")</f>
        <v>8. 80+</v>
      </c>
      <c r="M500" t="str">
        <f t="shared" si="7"/>
        <v>2+ years</v>
      </c>
    </row>
    <row r="501" spans="1:13" x14ac:dyDescent="0.25">
      <c r="A501" t="s">
        <v>514</v>
      </c>
      <c r="B501" t="s">
        <v>15</v>
      </c>
      <c r="C501">
        <v>28500</v>
      </c>
      <c r="D501">
        <v>9.76</v>
      </c>
      <c r="E501">
        <v>53.9</v>
      </c>
      <c r="F501">
        <v>1</v>
      </c>
      <c r="G501" t="s">
        <v>7</v>
      </c>
      <c r="H501">
        <v>3</v>
      </c>
      <c r="I501">
        <v>90638</v>
      </c>
      <c r="J501">
        <v>687</v>
      </c>
      <c r="K501" t="str" cm="1">
        <f t="array" ref="K501">_xlfn.IFS(J501&lt;600,"520-599",J501&lt;650,"600-649",J501&lt;700,"650-699",J501&lt;750,"700-749",TRUE,"750+")</f>
        <v>650-699</v>
      </c>
      <c r="L501" t="str" cm="1">
        <f t="array" ref="L501">_xlfn.IFS(E501&lt;20,"1. Under 20",E501&lt;30,"2. 20-29",E501&lt;40,"3. 30-39",E501&lt;50,"4. 40-49",E501&lt;60,"5. 50-59",E501&lt;70,"6. 60-69",E501&lt;80,"7. 70-79",TRUE,"8. 80+")</f>
        <v>5. 50-59</v>
      </c>
      <c r="M501" t="str">
        <f t="shared" si="7"/>
        <v>2+ years</v>
      </c>
    </row>
    <row r="502" spans="1:13" x14ac:dyDescent="0.25">
      <c r="A502" t="s">
        <v>515</v>
      </c>
      <c r="B502" t="s">
        <v>15</v>
      </c>
      <c r="C502">
        <v>2300</v>
      </c>
      <c r="D502">
        <v>11.06</v>
      </c>
      <c r="E502">
        <v>31.5</v>
      </c>
      <c r="F502">
        <v>0</v>
      </c>
      <c r="G502" t="s">
        <v>23</v>
      </c>
      <c r="H502">
        <v>12</v>
      </c>
      <c r="I502">
        <v>16498</v>
      </c>
      <c r="J502">
        <v>648</v>
      </c>
      <c r="K502" t="str" cm="1">
        <f t="array" ref="K502">_xlfn.IFS(J502&lt;600,"520-599",J502&lt;650,"600-649",J502&lt;700,"650-699",J502&lt;750,"700-749",TRUE,"750+")</f>
        <v>600-649</v>
      </c>
      <c r="L502" t="str" cm="1">
        <f t="array" ref="L502">_xlfn.IFS(E502&lt;20,"1. Under 20",E502&lt;30,"2. 20-29",E502&lt;40,"3. 30-39",E502&lt;50,"4. 40-49",E502&lt;60,"5. 50-59",E502&lt;70,"6. 60-69",E502&lt;80,"7. 70-79",TRUE,"8. 80+")</f>
        <v>3. 30-39</v>
      </c>
      <c r="M502" t="str">
        <f t="shared" si="7"/>
        <v>2+ years</v>
      </c>
    </row>
    <row r="503" spans="1:13" x14ac:dyDescent="0.25">
      <c r="A503" t="s">
        <v>516</v>
      </c>
      <c r="B503" t="s">
        <v>21</v>
      </c>
      <c r="C503">
        <v>8800</v>
      </c>
      <c r="D503">
        <v>6.29</v>
      </c>
      <c r="E503">
        <v>18.100000000000001</v>
      </c>
      <c r="F503">
        <v>0</v>
      </c>
      <c r="G503" t="s">
        <v>2</v>
      </c>
      <c r="H503">
        <v>6</v>
      </c>
      <c r="I503">
        <v>110166</v>
      </c>
      <c r="J503">
        <v>846</v>
      </c>
      <c r="K503" t="str" cm="1">
        <f t="array" ref="K503">_xlfn.IFS(J503&lt;600,"520-599",J503&lt;650,"600-649",J503&lt;700,"650-699",J503&lt;750,"700-749",TRUE,"750+")</f>
        <v>750+</v>
      </c>
      <c r="L503" t="str" cm="1">
        <f t="array" ref="L503">_xlfn.IFS(E503&lt;20,"1. Under 20",E503&lt;30,"2. 20-29",E503&lt;40,"3. 30-39",E503&lt;50,"4. 40-49",E503&lt;60,"5. 50-59",E503&lt;70,"6. 60-69",E503&lt;80,"7. 70-79",TRUE,"8. 80+")</f>
        <v>1. Under 20</v>
      </c>
      <c r="M503" t="str">
        <f t="shared" si="7"/>
        <v>2+ years</v>
      </c>
    </row>
    <row r="504" spans="1:13" x14ac:dyDescent="0.25">
      <c r="A504" t="s">
        <v>517</v>
      </c>
      <c r="B504" t="s">
        <v>6</v>
      </c>
      <c r="C504">
        <v>16400</v>
      </c>
      <c r="D504">
        <v>9.51</v>
      </c>
      <c r="E504">
        <v>18.399999999999999</v>
      </c>
      <c r="F504">
        <v>0</v>
      </c>
      <c r="G504" t="s">
        <v>2</v>
      </c>
      <c r="H504">
        <v>6</v>
      </c>
      <c r="I504">
        <v>110166</v>
      </c>
      <c r="J504">
        <v>846</v>
      </c>
      <c r="K504" t="str" cm="1">
        <f t="array" ref="K504">_xlfn.IFS(J504&lt;600,"520-599",J504&lt;650,"600-649",J504&lt;700,"650-699",J504&lt;750,"700-749",TRUE,"750+")</f>
        <v>750+</v>
      </c>
      <c r="L504" t="str" cm="1">
        <f t="array" ref="L504">_xlfn.IFS(E504&lt;20,"1. Under 20",E504&lt;30,"2. 20-29",E504&lt;40,"3. 30-39",E504&lt;50,"4. 40-49",E504&lt;60,"5. 50-59",E504&lt;70,"6. 60-69",E504&lt;80,"7. 70-79",TRUE,"8. 80+")</f>
        <v>1. Under 20</v>
      </c>
      <c r="M504" t="str">
        <f t="shared" si="7"/>
        <v>2+ years</v>
      </c>
    </row>
    <row r="505" spans="1:13" x14ac:dyDescent="0.25">
      <c r="A505" t="s">
        <v>518</v>
      </c>
      <c r="B505" t="s">
        <v>21</v>
      </c>
      <c r="C505">
        <v>6800</v>
      </c>
      <c r="D505">
        <v>10.29</v>
      </c>
      <c r="E505">
        <v>24.5</v>
      </c>
      <c r="F505">
        <v>0</v>
      </c>
      <c r="G505" t="s">
        <v>29</v>
      </c>
      <c r="H505">
        <v>24</v>
      </c>
      <c r="I505">
        <v>28964</v>
      </c>
      <c r="J505">
        <v>586</v>
      </c>
      <c r="K505" t="str" cm="1">
        <f t="array" ref="K505">_xlfn.IFS(J505&lt;600,"520-599",J505&lt;650,"600-649",J505&lt;700,"650-699",J505&lt;750,"700-749",TRUE,"750+")</f>
        <v>520-599</v>
      </c>
      <c r="L505" t="str" cm="1">
        <f t="array" ref="L505">_xlfn.IFS(E505&lt;20,"1. Under 20",E505&lt;30,"2. 20-29",E505&lt;40,"3. 30-39",E505&lt;50,"4. 40-49",E505&lt;60,"5. 50-59",E505&lt;70,"6. 60-69",E505&lt;80,"7. 70-79",TRUE,"8. 80+")</f>
        <v>2. 20-29</v>
      </c>
      <c r="M505" t="str">
        <f t="shared" si="7"/>
        <v>2+ years</v>
      </c>
    </row>
    <row r="506" spans="1:13" x14ac:dyDescent="0.25">
      <c r="A506" t="s">
        <v>519</v>
      </c>
      <c r="B506" t="s">
        <v>26</v>
      </c>
      <c r="C506">
        <v>36000</v>
      </c>
      <c r="D506">
        <v>14.34</v>
      </c>
      <c r="E506">
        <v>56.2</v>
      </c>
      <c r="F506">
        <v>0</v>
      </c>
      <c r="G506" t="s">
        <v>7</v>
      </c>
      <c r="H506">
        <v>2</v>
      </c>
      <c r="I506">
        <v>94611</v>
      </c>
      <c r="J506">
        <v>619</v>
      </c>
      <c r="K506" t="str" cm="1">
        <f t="array" ref="K506">_xlfn.IFS(J506&lt;600,"520-599",J506&lt;650,"600-649",J506&lt;700,"650-699",J506&lt;750,"700-749",TRUE,"750+")</f>
        <v>600-649</v>
      </c>
      <c r="L506" t="str" cm="1">
        <f t="array" ref="L506">_xlfn.IFS(E506&lt;20,"1. Under 20",E506&lt;30,"2. 20-29",E506&lt;40,"3. 30-39",E506&lt;50,"4. 40-49",E506&lt;60,"5. 50-59",E506&lt;70,"6. 60-69",E506&lt;80,"7. 70-79",TRUE,"8. 80+")</f>
        <v>5. 50-59</v>
      </c>
      <c r="M506" t="str">
        <f t="shared" si="7"/>
        <v>2+ years</v>
      </c>
    </row>
    <row r="507" spans="1:13" x14ac:dyDescent="0.25">
      <c r="A507" t="s">
        <v>520</v>
      </c>
      <c r="B507" t="s">
        <v>15</v>
      </c>
      <c r="C507">
        <v>21200</v>
      </c>
      <c r="D507">
        <v>10.78</v>
      </c>
      <c r="E507">
        <v>67.400000000000006</v>
      </c>
      <c r="F507">
        <v>0</v>
      </c>
      <c r="G507" t="s">
        <v>7</v>
      </c>
      <c r="H507">
        <v>2</v>
      </c>
      <c r="I507">
        <v>94611</v>
      </c>
      <c r="J507">
        <v>619</v>
      </c>
      <c r="K507" t="str" cm="1">
        <f t="array" ref="K507">_xlfn.IFS(J507&lt;600,"520-599",J507&lt;650,"600-649",J507&lt;700,"650-699",J507&lt;750,"700-749",TRUE,"750+")</f>
        <v>600-649</v>
      </c>
      <c r="L507" t="str" cm="1">
        <f t="array" ref="L507">_xlfn.IFS(E507&lt;20,"1. Under 20",E507&lt;30,"2. 20-29",E507&lt;40,"3. 30-39",E507&lt;50,"4. 40-49",E507&lt;60,"5. 50-59",E507&lt;70,"6. 60-69",E507&lt;80,"7. 70-79",TRUE,"8. 80+")</f>
        <v>6. 60-69</v>
      </c>
      <c r="M507" t="str">
        <f t="shared" si="7"/>
        <v>2+ years</v>
      </c>
    </row>
    <row r="508" spans="1:13" x14ac:dyDescent="0.25">
      <c r="A508" t="s">
        <v>521</v>
      </c>
      <c r="B508" t="s">
        <v>1</v>
      </c>
      <c r="C508">
        <v>33300</v>
      </c>
      <c r="D508">
        <v>10.34</v>
      </c>
      <c r="E508">
        <v>45.4</v>
      </c>
      <c r="F508">
        <v>1</v>
      </c>
      <c r="G508" t="s">
        <v>2</v>
      </c>
      <c r="H508">
        <v>35</v>
      </c>
      <c r="I508">
        <v>71897</v>
      </c>
      <c r="J508">
        <v>828</v>
      </c>
      <c r="K508" t="str" cm="1">
        <f t="array" ref="K508">_xlfn.IFS(J508&lt;600,"520-599",J508&lt;650,"600-649",J508&lt;700,"650-699",J508&lt;750,"700-749",TRUE,"750+")</f>
        <v>750+</v>
      </c>
      <c r="L508" t="str" cm="1">
        <f t="array" ref="L508">_xlfn.IFS(E508&lt;20,"1. Under 20",E508&lt;30,"2. 20-29",E508&lt;40,"3. 30-39",E508&lt;50,"4. 40-49",E508&lt;60,"5. 50-59",E508&lt;70,"6. 60-69",E508&lt;80,"7. 70-79",TRUE,"8. 80+")</f>
        <v>4. 40-49</v>
      </c>
      <c r="M508" t="str">
        <f t="shared" si="7"/>
        <v>2+ years</v>
      </c>
    </row>
    <row r="509" spans="1:13" x14ac:dyDescent="0.25">
      <c r="A509" t="s">
        <v>522</v>
      </c>
      <c r="B509" t="s">
        <v>19</v>
      </c>
      <c r="C509">
        <v>5100</v>
      </c>
      <c r="D509">
        <v>9.5500000000000007</v>
      </c>
      <c r="E509">
        <v>19.5</v>
      </c>
      <c r="F509">
        <v>1</v>
      </c>
      <c r="G509" t="s">
        <v>2</v>
      </c>
      <c r="H509">
        <v>8</v>
      </c>
      <c r="I509">
        <v>50767</v>
      </c>
      <c r="J509">
        <v>808</v>
      </c>
      <c r="K509" t="str" cm="1">
        <f t="array" ref="K509">_xlfn.IFS(J509&lt;600,"520-599",J509&lt;650,"600-649",J509&lt;700,"650-699",J509&lt;750,"700-749",TRUE,"750+")</f>
        <v>750+</v>
      </c>
      <c r="L509" t="str" cm="1">
        <f t="array" ref="L509">_xlfn.IFS(E509&lt;20,"1. Under 20",E509&lt;30,"2. 20-29",E509&lt;40,"3. 30-39",E509&lt;50,"4. 40-49",E509&lt;60,"5. 50-59",E509&lt;70,"6. 60-69",E509&lt;80,"7. 70-79",TRUE,"8. 80+")</f>
        <v>1. Under 20</v>
      </c>
      <c r="M509" t="str">
        <f t="shared" si="7"/>
        <v>2+ years</v>
      </c>
    </row>
    <row r="510" spans="1:13" x14ac:dyDescent="0.25">
      <c r="A510" t="s">
        <v>523</v>
      </c>
      <c r="B510" t="s">
        <v>17</v>
      </c>
      <c r="C510">
        <v>17400</v>
      </c>
      <c r="D510">
        <v>6.77</v>
      </c>
      <c r="E510">
        <v>62.8</v>
      </c>
      <c r="F510">
        <v>0</v>
      </c>
      <c r="G510" t="s">
        <v>7</v>
      </c>
      <c r="H510">
        <v>16</v>
      </c>
      <c r="I510">
        <v>73304</v>
      </c>
      <c r="J510">
        <v>850</v>
      </c>
      <c r="K510" t="str" cm="1">
        <f t="array" ref="K510">_xlfn.IFS(J510&lt;600,"520-599",J510&lt;650,"600-649",J510&lt;700,"650-699",J510&lt;750,"700-749",TRUE,"750+")</f>
        <v>750+</v>
      </c>
      <c r="L510" t="str" cm="1">
        <f t="array" ref="L510">_xlfn.IFS(E510&lt;20,"1. Under 20",E510&lt;30,"2. 20-29",E510&lt;40,"3. 30-39",E510&lt;50,"4. 40-49",E510&lt;60,"5. 50-59",E510&lt;70,"6. 60-69",E510&lt;80,"7. 70-79",TRUE,"8. 80+")</f>
        <v>6. 60-69</v>
      </c>
      <c r="M510" t="str">
        <f t="shared" si="7"/>
        <v>2+ years</v>
      </c>
    </row>
    <row r="511" spans="1:13" x14ac:dyDescent="0.25">
      <c r="A511" t="s">
        <v>524</v>
      </c>
      <c r="B511" t="s">
        <v>26</v>
      </c>
      <c r="C511">
        <v>10800</v>
      </c>
      <c r="D511">
        <v>6.06</v>
      </c>
      <c r="E511">
        <v>49</v>
      </c>
      <c r="F511">
        <v>1</v>
      </c>
      <c r="G511" t="s">
        <v>7</v>
      </c>
      <c r="H511">
        <v>2</v>
      </c>
      <c r="I511">
        <v>30860</v>
      </c>
      <c r="J511">
        <v>850</v>
      </c>
      <c r="K511" t="str" cm="1">
        <f t="array" ref="K511">_xlfn.IFS(J511&lt;600,"520-599",J511&lt;650,"600-649",J511&lt;700,"650-699",J511&lt;750,"700-749",TRUE,"750+")</f>
        <v>750+</v>
      </c>
      <c r="L511" t="str" cm="1">
        <f t="array" ref="L511">_xlfn.IFS(E511&lt;20,"1. Under 20",E511&lt;30,"2. 20-29",E511&lt;40,"3. 30-39",E511&lt;50,"4. 40-49",E511&lt;60,"5. 50-59",E511&lt;70,"6. 60-69",E511&lt;80,"7. 70-79",TRUE,"8. 80+")</f>
        <v>4. 40-49</v>
      </c>
      <c r="M511" t="str">
        <f t="shared" si="7"/>
        <v>2+ years</v>
      </c>
    </row>
    <row r="512" spans="1:13" x14ac:dyDescent="0.25">
      <c r="A512" t="s">
        <v>525</v>
      </c>
      <c r="B512" t="s">
        <v>21</v>
      </c>
      <c r="C512">
        <v>34800</v>
      </c>
      <c r="D512">
        <v>8.33</v>
      </c>
      <c r="E512">
        <v>72.400000000000006</v>
      </c>
      <c r="F512">
        <v>0</v>
      </c>
      <c r="G512" t="s">
        <v>7</v>
      </c>
      <c r="H512">
        <v>2</v>
      </c>
      <c r="I512">
        <v>30860</v>
      </c>
      <c r="J512">
        <v>850</v>
      </c>
      <c r="K512" t="str" cm="1">
        <f t="array" ref="K512">_xlfn.IFS(J512&lt;600,"520-599",J512&lt;650,"600-649",J512&lt;700,"650-699",J512&lt;750,"700-749",TRUE,"750+")</f>
        <v>750+</v>
      </c>
      <c r="L512" t="str" cm="1">
        <f t="array" ref="L512">_xlfn.IFS(E512&lt;20,"1. Under 20",E512&lt;30,"2. 20-29",E512&lt;40,"3. 30-39",E512&lt;50,"4. 40-49",E512&lt;60,"5. 50-59",E512&lt;70,"6. 60-69",E512&lt;80,"7. 70-79",TRUE,"8. 80+")</f>
        <v>7. 70-79</v>
      </c>
      <c r="M512" t="str">
        <f t="shared" si="7"/>
        <v>2+ years</v>
      </c>
    </row>
    <row r="513" spans="1:13" x14ac:dyDescent="0.25">
      <c r="A513" t="s">
        <v>526</v>
      </c>
      <c r="B513" t="s">
        <v>17</v>
      </c>
      <c r="C513">
        <v>30100</v>
      </c>
      <c r="D513">
        <v>9.49</v>
      </c>
      <c r="E513">
        <v>61.9</v>
      </c>
      <c r="F513">
        <v>1</v>
      </c>
      <c r="G513" t="s">
        <v>2</v>
      </c>
      <c r="H513">
        <v>17</v>
      </c>
      <c r="I513">
        <v>47833</v>
      </c>
      <c r="J513">
        <v>661</v>
      </c>
      <c r="K513" t="str" cm="1">
        <f t="array" ref="K513">_xlfn.IFS(J513&lt;600,"520-599",J513&lt;650,"600-649",J513&lt;700,"650-699",J513&lt;750,"700-749",TRUE,"750+")</f>
        <v>650-699</v>
      </c>
      <c r="L513" t="str" cm="1">
        <f t="array" ref="L513">_xlfn.IFS(E513&lt;20,"1. Under 20",E513&lt;30,"2. 20-29",E513&lt;40,"3. 30-39",E513&lt;50,"4. 40-49",E513&lt;60,"5. 50-59",E513&lt;70,"6. 60-69",E513&lt;80,"7. 70-79",TRUE,"8. 80+")</f>
        <v>6. 60-69</v>
      </c>
      <c r="M513" t="str">
        <f t="shared" si="7"/>
        <v>2+ years</v>
      </c>
    </row>
    <row r="514" spans="1:13" x14ac:dyDescent="0.25">
      <c r="A514" t="s">
        <v>527</v>
      </c>
      <c r="B514" t="s">
        <v>21</v>
      </c>
      <c r="C514">
        <v>8700</v>
      </c>
      <c r="D514">
        <v>8.9600000000000009</v>
      </c>
      <c r="E514">
        <v>13.4</v>
      </c>
      <c r="F514">
        <v>0</v>
      </c>
      <c r="G514" t="s">
        <v>7</v>
      </c>
      <c r="H514">
        <v>20</v>
      </c>
      <c r="I514">
        <v>71658</v>
      </c>
      <c r="J514">
        <v>686</v>
      </c>
      <c r="K514" t="str" cm="1">
        <f t="array" ref="K514">_xlfn.IFS(J514&lt;600,"520-599",J514&lt;650,"600-649",J514&lt;700,"650-699",J514&lt;750,"700-749",TRUE,"750+")</f>
        <v>650-699</v>
      </c>
      <c r="L514" t="str" cm="1">
        <f t="array" ref="L514">_xlfn.IFS(E514&lt;20,"1. Under 20",E514&lt;30,"2. 20-29",E514&lt;40,"3. 30-39",E514&lt;50,"4. 40-49",E514&lt;60,"5. 50-59",E514&lt;70,"6. 60-69",E514&lt;80,"7. 70-79",TRUE,"8. 80+")</f>
        <v>1. Under 20</v>
      </c>
      <c r="M514" t="str">
        <f t="shared" si="7"/>
        <v>2+ years</v>
      </c>
    </row>
    <row r="515" spans="1:13" x14ac:dyDescent="0.25">
      <c r="A515" t="s">
        <v>528</v>
      </c>
      <c r="B515" t="s">
        <v>15</v>
      </c>
      <c r="C515">
        <v>7500</v>
      </c>
      <c r="D515">
        <v>8.4600000000000009</v>
      </c>
      <c r="E515">
        <v>21.5</v>
      </c>
      <c r="F515">
        <v>0</v>
      </c>
      <c r="G515" t="s">
        <v>23</v>
      </c>
      <c r="H515">
        <v>13</v>
      </c>
      <c r="I515">
        <v>29725</v>
      </c>
      <c r="J515">
        <v>847</v>
      </c>
      <c r="K515" t="str" cm="1">
        <f t="array" ref="K515">_xlfn.IFS(J515&lt;600,"520-599",J515&lt;650,"600-649",J515&lt;700,"650-699",J515&lt;750,"700-749",TRUE,"750+")</f>
        <v>750+</v>
      </c>
      <c r="L515" t="str" cm="1">
        <f t="array" ref="L515">_xlfn.IFS(E515&lt;20,"1. Under 20",E515&lt;30,"2. 20-29",E515&lt;40,"3. 30-39",E515&lt;50,"4. 40-49",E515&lt;60,"5. 50-59",E515&lt;70,"6. 60-69",E515&lt;80,"7. 70-79",TRUE,"8. 80+")</f>
        <v>2. 20-29</v>
      </c>
      <c r="M515" t="str">
        <f t="shared" ref="M515:M578" si="8">IF(H515&lt;2,"Under 2 years","2+ years")</f>
        <v>2+ years</v>
      </c>
    </row>
    <row r="516" spans="1:13" x14ac:dyDescent="0.25">
      <c r="A516" t="s">
        <v>529</v>
      </c>
      <c r="B516" t="s">
        <v>13</v>
      </c>
      <c r="C516">
        <v>47100</v>
      </c>
      <c r="D516">
        <v>14.85</v>
      </c>
      <c r="E516">
        <v>64.8</v>
      </c>
      <c r="F516">
        <v>1</v>
      </c>
      <c r="G516" t="s">
        <v>2</v>
      </c>
      <c r="H516">
        <v>9</v>
      </c>
      <c r="I516">
        <v>91943</v>
      </c>
      <c r="J516">
        <v>576</v>
      </c>
      <c r="K516" t="str" cm="1">
        <f t="array" ref="K516">_xlfn.IFS(J516&lt;600,"520-599",J516&lt;650,"600-649",J516&lt;700,"650-699",J516&lt;750,"700-749",TRUE,"750+")</f>
        <v>520-599</v>
      </c>
      <c r="L516" t="str" cm="1">
        <f t="array" ref="L516">_xlfn.IFS(E516&lt;20,"1. Under 20",E516&lt;30,"2. 20-29",E516&lt;40,"3. 30-39",E516&lt;50,"4. 40-49",E516&lt;60,"5. 50-59",E516&lt;70,"6. 60-69",E516&lt;80,"7. 70-79",TRUE,"8. 80+")</f>
        <v>6. 60-69</v>
      </c>
      <c r="M516" t="str">
        <f t="shared" si="8"/>
        <v>2+ years</v>
      </c>
    </row>
    <row r="517" spans="1:13" x14ac:dyDescent="0.25">
      <c r="A517" t="s">
        <v>530</v>
      </c>
      <c r="B517" t="s">
        <v>26</v>
      </c>
      <c r="C517">
        <v>14000</v>
      </c>
      <c r="D517">
        <v>10.029999999999999</v>
      </c>
      <c r="E517">
        <v>86</v>
      </c>
      <c r="F517">
        <v>0</v>
      </c>
      <c r="G517" t="s">
        <v>7</v>
      </c>
      <c r="H517">
        <v>2</v>
      </c>
      <c r="I517">
        <v>24879</v>
      </c>
      <c r="J517">
        <v>641</v>
      </c>
      <c r="K517" t="str" cm="1">
        <f t="array" ref="K517">_xlfn.IFS(J517&lt;600,"520-599",J517&lt;650,"600-649",J517&lt;700,"650-699",J517&lt;750,"700-749",TRUE,"750+")</f>
        <v>600-649</v>
      </c>
      <c r="L517" t="str" cm="1">
        <f t="array" ref="L517">_xlfn.IFS(E517&lt;20,"1. Under 20",E517&lt;30,"2. 20-29",E517&lt;40,"3. 30-39",E517&lt;50,"4. 40-49",E517&lt;60,"5. 50-59",E517&lt;70,"6. 60-69",E517&lt;80,"7. 70-79",TRUE,"8. 80+")</f>
        <v>8. 80+</v>
      </c>
      <c r="M517" t="str">
        <f t="shared" si="8"/>
        <v>2+ years</v>
      </c>
    </row>
    <row r="518" spans="1:13" x14ac:dyDescent="0.25">
      <c r="A518" t="s">
        <v>531</v>
      </c>
      <c r="B518" t="s">
        <v>17</v>
      </c>
      <c r="C518">
        <v>11300</v>
      </c>
      <c r="D518">
        <v>13.99</v>
      </c>
      <c r="E518">
        <v>52.8</v>
      </c>
      <c r="F518">
        <v>1</v>
      </c>
      <c r="G518" t="s">
        <v>7</v>
      </c>
      <c r="H518">
        <v>2</v>
      </c>
      <c r="I518">
        <v>24879</v>
      </c>
      <c r="J518">
        <v>641</v>
      </c>
      <c r="K518" t="str" cm="1">
        <f t="array" ref="K518">_xlfn.IFS(J518&lt;600,"520-599",J518&lt;650,"600-649",J518&lt;700,"650-699",J518&lt;750,"700-749",TRUE,"750+")</f>
        <v>600-649</v>
      </c>
      <c r="L518" t="str" cm="1">
        <f t="array" ref="L518">_xlfn.IFS(E518&lt;20,"1. Under 20",E518&lt;30,"2. 20-29",E518&lt;40,"3. 30-39",E518&lt;50,"4. 40-49",E518&lt;60,"5. 50-59",E518&lt;70,"6. 60-69",E518&lt;80,"7. 70-79",TRUE,"8. 80+")</f>
        <v>5. 50-59</v>
      </c>
      <c r="M518" t="str">
        <f t="shared" si="8"/>
        <v>2+ years</v>
      </c>
    </row>
    <row r="519" spans="1:13" x14ac:dyDescent="0.25">
      <c r="A519" t="s">
        <v>532</v>
      </c>
      <c r="B519" t="s">
        <v>17</v>
      </c>
      <c r="C519">
        <v>11800</v>
      </c>
      <c r="D519">
        <v>7.19</v>
      </c>
      <c r="E519">
        <v>55.7</v>
      </c>
      <c r="F519">
        <v>0</v>
      </c>
      <c r="G519" t="s">
        <v>7</v>
      </c>
      <c r="H519">
        <v>0</v>
      </c>
      <c r="I519">
        <v>40976</v>
      </c>
      <c r="J519">
        <v>846</v>
      </c>
      <c r="K519" t="str" cm="1">
        <f t="array" ref="K519">_xlfn.IFS(J519&lt;600,"520-599",J519&lt;650,"600-649",J519&lt;700,"650-699",J519&lt;750,"700-749",TRUE,"750+")</f>
        <v>750+</v>
      </c>
      <c r="L519" t="str" cm="1">
        <f t="array" ref="L519">_xlfn.IFS(E519&lt;20,"1. Under 20",E519&lt;30,"2. 20-29",E519&lt;40,"3. 30-39",E519&lt;50,"4. 40-49",E519&lt;60,"5. 50-59",E519&lt;70,"6. 60-69",E519&lt;80,"7. 70-79",TRUE,"8. 80+")</f>
        <v>5. 50-59</v>
      </c>
      <c r="M519" t="str">
        <f t="shared" si="8"/>
        <v>Under 2 years</v>
      </c>
    </row>
    <row r="520" spans="1:13" x14ac:dyDescent="0.25">
      <c r="A520" t="s">
        <v>533</v>
      </c>
      <c r="B520" t="s">
        <v>17</v>
      </c>
      <c r="C520">
        <v>25400</v>
      </c>
      <c r="D520">
        <v>12.56</v>
      </c>
      <c r="E520">
        <v>32.4</v>
      </c>
      <c r="F520">
        <v>0</v>
      </c>
      <c r="G520" t="s">
        <v>7</v>
      </c>
      <c r="H520">
        <v>19</v>
      </c>
      <c r="I520">
        <v>122115</v>
      </c>
      <c r="J520">
        <v>704</v>
      </c>
      <c r="K520" t="str" cm="1">
        <f t="array" ref="K520">_xlfn.IFS(J520&lt;600,"520-599",J520&lt;650,"600-649",J520&lt;700,"650-699",J520&lt;750,"700-749",TRUE,"750+")</f>
        <v>700-749</v>
      </c>
      <c r="L520" t="str" cm="1">
        <f t="array" ref="L520">_xlfn.IFS(E520&lt;20,"1. Under 20",E520&lt;30,"2. 20-29",E520&lt;40,"3. 30-39",E520&lt;50,"4. 40-49",E520&lt;60,"5. 50-59",E520&lt;70,"6. 60-69",E520&lt;80,"7. 70-79",TRUE,"8. 80+")</f>
        <v>3. 30-39</v>
      </c>
      <c r="M520" t="str">
        <f t="shared" si="8"/>
        <v>2+ years</v>
      </c>
    </row>
    <row r="521" spans="1:13" x14ac:dyDescent="0.25">
      <c r="A521" t="s">
        <v>534</v>
      </c>
      <c r="B521" t="s">
        <v>1</v>
      </c>
      <c r="C521">
        <v>42600</v>
      </c>
      <c r="D521">
        <v>10.14</v>
      </c>
      <c r="E521">
        <v>37.6</v>
      </c>
      <c r="F521">
        <v>0</v>
      </c>
      <c r="G521" t="s">
        <v>7</v>
      </c>
      <c r="H521">
        <v>19</v>
      </c>
      <c r="I521">
        <v>122115</v>
      </c>
      <c r="J521">
        <v>704</v>
      </c>
      <c r="K521" t="str" cm="1">
        <f t="array" ref="K521">_xlfn.IFS(J521&lt;600,"520-599",J521&lt;650,"600-649",J521&lt;700,"650-699",J521&lt;750,"700-749",TRUE,"750+")</f>
        <v>700-749</v>
      </c>
      <c r="L521" t="str" cm="1">
        <f t="array" ref="L521">_xlfn.IFS(E521&lt;20,"1. Under 20",E521&lt;30,"2. 20-29",E521&lt;40,"3. 30-39",E521&lt;50,"4. 40-49",E521&lt;60,"5. 50-59",E521&lt;70,"6. 60-69",E521&lt;80,"7. 70-79",TRUE,"8. 80+")</f>
        <v>3. 30-39</v>
      </c>
      <c r="M521" t="str">
        <f t="shared" si="8"/>
        <v>2+ years</v>
      </c>
    </row>
    <row r="522" spans="1:13" x14ac:dyDescent="0.25">
      <c r="A522" t="s">
        <v>535</v>
      </c>
      <c r="B522" t="s">
        <v>26</v>
      </c>
      <c r="C522">
        <v>4400</v>
      </c>
      <c r="D522">
        <v>11.42</v>
      </c>
      <c r="E522">
        <v>47.1</v>
      </c>
      <c r="F522">
        <v>0</v>
      </c>
      <c r="G522" t="s">
        <v>7</v>
      </c>
      <c r="H522">
        <v>34</v>
      </c>
      <c r="I522">
        <v>30139</v>
      </c>
      <c r="J522">
        <v>725</v>
      </c>
      <c r="K522" t="str" cm="1">
        <f t="array" ref="K522">_xlfn.IFS(J522&lt;600,"520-599",J522&lt;650,"600-649",J522&lt;700,"650-699",J522&lt;750,"700-749",TRUE,"750+")</f>
        <v>700-749</v>
      </c>
      <c r="L522" t="str" cm="1">
        <f t="array" ref="L522">_xlfn.IFS(E522&lt;20,"1. Under 20",E522&lt;30,"2. 20-29",E522&lt;40,"3. 30-39",E522&lt;50,"4. 40-49",E522&lt;60,"5. 50-59",E522&lt;70,"6. 60-69",E522&lt;80,"7. 70-79",TRUE,"8. 80+")</f>
        <v>4. 40-49</v>
      </c>
      <c r="M522" t="str">
        <f t="shared" si="8"/>
        <v>2+ years</v>
      </c>
    </row>
    <row r="523" spans="1:13" x14ac:dyDescent="0.25">
      <c r="A523" t="s">
        <v>536</v>
      </c>
      <c r="B523" t="s">
        <v>17</v>
      </c>
      <c r="C523">
        <v>12600</v>
      </c>
      <c r="D523">
        <v>8.26</v>
      </c>
      <c r="E523">
        <v>77.8</v>
      </c>
      <c r="F523">
        <v>0</v>
      </c>
      <c r="G523" t="s">
        <v>29</v>
      </c>
      <c r="H523">
        <v>9</v>
      </c>
      <c r="I523">
        <v>24786</v>
      </c>
      <c r="J523">
        <v>809</v>
      </c>
      <c r="K523" t="str" cm="1">
        <f t="array" ref="K523">_xlfn.IFS(J523&lt;600,"520-599",J523&lt;650,"600-649",J523&lt;700,"650-699",J523&lt;750,"700-749",TRUE,"750+")</f>
        <v>750+</v>
      </c>
      <c r="L523" t="str" cm="1">
        <f t="array" ref="L523">_xlfn.IFS(E523&lt;20,"1. Under 20",E523&lt;30,"2. 20-29",E523&lt;40,"3. 30-39",E523&lt;50,"4. 40-49",E523&lt;60,"5. 50-59",E523&lt;70,"6. 60-69",E523&lt;80,"7. 70-79",TRUE,"8. 80+")</f>
        <v>7. 70-79</v>
      </c>
      <c r="M523" t="str">
        <f t="shared" si="8"/>
        <v>2+ years</v>
      </c>
    </row>
    <row r="524" spans="1:13" x14ac:dyDescent="0.25">
      <c r="A524" t="s">
        <v>537</v>
      </c>
      <c r="B524" t="s">
        <v>17</v>
      </c>
      <c r="C524">
        <v>46300</v>
      </c>
      <c r="D524">
        <v>8.98</v>
      </c>
      <c r="E524">
        <v>23.8</v>
      </c>
      <c r="F524">
        <v>0</v>
      </c>
      <c r="G524" t="s">
        <v>7</v>
      </c>
      <c r="H524">
        <v>13</v>
      </c>
      <c r="I524">
        <v>118803</v>
      </c>
      <c r="J524">
        <v>721</v>
      </c>
      <c r="K524" t="str" cm="1">
        <f t="array" ref="K524">_xlfn.IFS(J524&lt;600,"520-599",J524&lt;650,"600-649",J524&lt;700,"650-699",J524&lt;750,"700-749",TRUE,"750+")</f>
        <v>700-749</v>
      </c>
      <c r="L524" t="str" cm="1">
        <f t="array" ref="L524">_xlfn.IFS(E524&lt;20,"1. Under 20",E524&lt;30,"2. 20-29",E524&lt;40,"3. 30-39",E524&lt;50,"4. 40-49",E524&lt;60,"5. 50-59",E524&lt;70,"6. 60-69",E524&lt;80,"7. 70-79",TRUE,"8. 80+")</f>
        <v>2. 20-29</v>
      </c>
      <c r="M524" t="str">
        <f t="shared" si="8"/>
        <v>2+ years</v>
      </c>
    </row>
    <row r="525" spans="1:13" x14ac:dyDescent="0.25">
      <c r="A525" t="s">
        <v>538</v>
      </c>
      <c r="B525" t="s">
        <v>1</v>
      </c>
      <c r="C525">
        <v>8700</v>
      </c>
      <c r="D525">
        <v>10.5</v>
      </c>
      <c r="E525">
        <v>48.4</v>
      </c>
      <c r="F525">
        <v>1</v>
      </c>
      <c r="G525" t="s">
        <v>10</v>
      </c>
      <c r="H525">
        <v>10</v>
      </c>
      <c r="I525">
        <v>38377</v>
      </c>
      <c r="J525">
        <v>617</v>
      </c>
      <c r="K525" t="str" cm="1">
        <f t="array" ref="K525">_xlfn.IFS(J525&lt;600,"520-599",J525&lt;650,"600-649",J525&lt;700,"650-699",J525&lt;750,"700-749",TRUE,"750+")</f>
        <v>600-649</v>
      </c>
      <c r="L525" t="str" cm="1">
        <f t="array" ref="L525">_xlfn.IFS(E525&lt;20,"1. Under 20",E525&lt;30,"2. 20-29",E525&lt;40,"3. 30-39",E525&lt;50,"4. 40-49",E525&lt;60,"5. 50-59",E525&lt;70,"6. 60-69",E525&lt;80,"7. 70-79",TRUE,"8. 80+")</f>
        <v>4. 40-49</v>
      </c>
      <c r="M525" t="str">
        <f t="shared" si="8"/>
        <v>2+ years</v>
      </c>
    </row>
    <row r="526" spans="1:13" x14ac:dyDescent="0.25">
      <c r="A526" t="s">
        <v>539</v>
      </c>
      <c r="B526" t="s">
        <v>21</v>
      </c>
      <c r="C526">
        <v>39200</v>
      </c>
      <c r="D526">
        <v>15.28</v>
      </c>
      <c r="E526">
        <v>124.5</v>
      </c>
      <c r="F526">
        <v>0</v>
      </c>
      <c r="G526" t="s">
        <v>7</v>
      </c>
      <c r="H526">
        <v>16</v>
      </c>
      <c r="I526">
        <v>59143</v>
      </c>
      <c r="J526">
        <v>564</v>
      </c>
      <c r="K526" t="str" cm="1">
        <f t="array" ref="K526">_xlfn.IFS(J526&lt;600,"520-599",J526&lt;650,"600-649",J526&lt;700,"650-699",J526&lt;750,"700-749",TRUE,"750+")</f>
        <v>520-599</v>
      </c>
      <c r="L526" t="str" cm="1">
        <f t="array" ref="L526">_xlfn.IFS(E526&lt;20,"1. Under 20",E526&lt;30,"2. 20-29",E526&lt;40,"3. 30-39",E526&lt;50,"4. 40-49",E526&lt;60,"5. 50-59",E526&lt;70,"6. 60-69",E526&lt;80,"7. 70-79",TRUE,"8. 80+")</f>
        <v>8. 80+</v>
      </c>
      <c r="M526" t="str">
        <f t="shared" si="8"/>
        <v>2+ years</v>
      </c>
    </row>
    <row r="527" spans="1:13" x14ac:dyDescent="0.25">
      <c r="A527" t="s">
        <v>540</v>
      </c>
      <c r="B527" t="s">
        <v>21</v>
      </c>
      <c r="C527">
        <v>26200</v>
      </c>
      <c r="D527">
        <v>7.23</v>
      </c>
      <c r="E527">
        <v>59</v>
      </c>
      <c r="F527">
        <v>1</v>
      </c>
      <c r="G527" t="s">
        <v>2</v>
      </c>
      <c r="H527">
        <v>2</v>
      </c>
      <c r="I527">
        <v>25921</v>
      </c>
      <c r="J527">
        <v>842</v>
      </c>
      <c r="K527" t="str" cm="1">
        <f t="array" ref="K527">_xlfn.IFS(J527&lt;600,"520-599",J527&lt;650,"600-649",J527&lt;700,"650-699",J527&lt;750,"700-749",TRUE,"750+")</f>
        <v>750+</v>
      </c>
      <c r="L527" t="str" cm="1">
        <f t="array" ref="L527">_xlfn.IFS(E527&lt;20,"1. Under 20",E527&lt;30,"2. 20-29",E527&lt;40,"3. 30-39",E527&lt;50,"4. 40-49",E527&lt;60,"5. 50-59",E527&lt;70,"6. 60-69",E527&lt;80,"7. 70-79",TRUE,"8. 80+")</f>
        <v>5. 50-59</v>
      </c>
      <c r="M527" t="str">
        <f t="shared" si="8"/>
        <v>2+ years</v>
      </c>
    </row>
    <row r="528" spans="1:13" x14ac:dyDescent="0.25">
      <c r="A528" t="s">
        <v>541</v>
      </c>
      <c r="B528" t="s">
        <v>17</v>
      </c>
      <c r="C528">
        <v>14900</v>
      </c>
      <c r="D528">
        <v>10.77</v>
      </c>
      <c r="E528">
        <v>32.4</v>
      </c>
      <c r="F528">
        <v>0</v>
      </c>
      <c r="G528" t="s">
        <v>23</v>
      </c>
      <c r="H528">
        <v>20</v>
      </c>
      <c r="I528">
        <v>30540</v>
      </c>
      <c r="J528">
        <v>711</v>
      </c>
      <c r="K528" t="str" cm="1">
        <f t="array" ref="K528">_xlfn.IFS(J528&lt;600,"520-599",J528&lt;650,"600-649",J528&lt;700,"650-699",J528&lt;750,"700-749",TRUE,"750+")</f>
        <v>700-749</v>
      </c>
      <c r="L528" t="str" cm="1">
        <f t="array" ref="L528">_xlfn.IFS(E528&lt;20,"1. Under 20",E528&lt;30,"2. 20-29",E528&lt;40,"3. 30-39",E528&lt;50,"4. 40-49",E528&lt;60,"5. 50-59",E528&lt;70,"6. 60-69",E528&lt;80,"7. 70-79",TRUE,"8. 80+")</f>
        <v>3. 30-39</v>
      </c>
      <c r="M528" t="str">
        <f t="shared" si="8"/>
        <v>2+ years</v>
      </c>
    </row>
    <row r="529" spans="1:13" x14ac:dyDescent="0.25">
      <c r="A529" t="s">
        <v>542</v>
      </c>
      <c r="B529" t="s">
        <v>9</v>
      </c>
      <c r="C529">
        <v>8800</v>
      </c>
      <c r="D529">
        <v>10.51</v>
      </c>
      <c r="E529">
        <v>34.4</v>
      </c>
      <c r="F529">
        <v>0</v>
      </c>
      <c r="G529" t="s">
        <v>23</v>
      </c>
      <c r="H529">
        <v>4</v>
      </c>
      <c r="I529">
        <v>43086</v>
      </c>
      <c r="J529">
        <v>714</v>
      </c>
      <c r="K529" t="str" cm="1">
        <f t="array" ref="K529">_xlfn.IFS(J529&lt;600,"520-599",J529&lt;650,"600-649",J529&lt;700,"650-699",J529&lt;750,"700-749",TRUE,"750+")</f>
        <v>700-749</v>
      </c>
      <c r="L529" t="str" cm="1">
        <f t="array" ref="L529">_xlfn.IFS(E529&lt;20,"1. Under 20",E529&lt;30,"2. 20-29",E529&lt;40,"3. 30-39",E529&lt;50,"4. 40-49",E529&lt;60,"5. 50-59",E529&lt;70,"6. 60-69",E529&lt;80,"7. 70-79",TRUE,"8. 80+")</f>
        <v>3. 30-39</v>
      </c>
      <c r="M529" t="str">
        <f t="shared" si="8"/>
        <v>2+ years</v>
      </c>
    </row>
    <row r="530" spans="1:13" x14ac:dyDescent="0.25">
      <c r="A530" t="s">
        <v>543</v>
      </c>
      <c r="B530" t="s">
        <v>21</v>
      </c>
      <c r="C530">
        <v>44900</v>
      </c>
      <c r="D530">
        <v>6.22</v>
      </c>
      <c r="E530">
        <v>49.4</v>
      </c>
      <c r="F530">
        <v>0</v>
      </c>
      <c r="G530" t="s">
        <v>7</v>
      </c>
      <c r="H530">
        <v>19</v>
      </c>
      <c r="I530">
        <v>63937</v>
      </c>
      <c r="J530">
        <v>850</v>
      </c>
      <c r="K530" t="str" cm="1">
        <f t="array" ref="K530">_xlfn.IFS(J530&lt;600,"520-599",J530&lt;650,"600-649",J530&lt;700,"650-699",J530&lt;750,"700-749",TRUE,"750+")</f>
        <v>750+</v>
      </c>
      <c r="L530" t="str" cm="1">
        <f t="array" ref="L530">_xlfn.IFS(E530&lt;20,"1. Under 20",E530&lt;30,"2. 20-29",E530&lt;40,"3. 30-39",E530&lt;50,"4. 40-49",E530&lt;60,"5. 50-59",E530&lt;70,"6. 60-69",E530&lt;80,"7. 70-79",TRUE,"8. 80+")</f>
        <v>4. 40-49</v>
      </c>
      <c r="M530" t="str">
        <f t="shared" si="8"/>
        <v>2+ years</v>
      </c>
    </row>
    <row r="531" spans="1:13" x14ac:dyDescent="0.25">
      <c r="A531" t="s">
        <v>544</v>
      </c>
      <c r="B531" t="s">
        <v>13</v>
      </c>
      <c r="C531">
        <v>12800</v>
      </c>
      <c r="D531">
        <v>13.03</v>
      </c>
      <c r="E531">
        <v>50.5</v>
      </c>
      <c r="F531">
        <v>1</v>
      </c>
      <c r="G531" t="s">
        <v>2</v>
      </c>
      <c r="H531">
        <v>1</v>
      </c>
      <c r="I531">
        <v>44456</v>
      </c>
      <c r="J531">
        <v>568</v>
      </c>
      <c r="K531" t="str" cm="1">
        <f t="array" ref="K531">_xlfn.IFS(J531&lt;600,"520-599",J531&lt;650,"600-649",J531&lt;700,"650-699",J531&lt;750,"700-749",TRUE,"750+")</f>
        <v>520-599</v>
      </c>
      <c r="L531" t="str" cm="1">
        <f t="array" ref="L531">_xlfn.IFS(E531&lt;20,"1. Under 20",E531&lt;30,"2. 20-29",E531&lt;40,"3. 30-39",E531&lt;50,"4. 40-49",E531&lt;60,"5. 50-59",E531&lt;70,"6. 60-69",E531&lt;80,"7. 70-79",TRUE,"8. 80+")</f>
        <v>5. 50-59</v>
      </c>
      <c r="M531" t="str">
        <f t="shared" si="8"/>
        <v>Under 2 years</v>
      </c>
    </row>
    <row r="532" spans="1:13" x14ac:dyDescent="0.25">
      <c r="A532" t="s">
        <v>545</v>
      </c>
      <c r="B532" t="s">
        <v>21</v>
      </c>
      <c r="C532">
        <v>47300</v>
      </c>
      <c r="D532">
        <v>12.12</v>
      </c>
      <c r="E532">
        <v>90.1</v>
      </c>
      <c r="F532">
        <v>1</v>
      </c>
      <c r="G532" t="s">
        <v>7</v>
      </c>
      <c r="H532">
        <v>17</v>
      </c>
      <c r="I532">
        <v>57745</v>
      </c>
      <c r="J532">
        <v>663</v>
      </c>
      <c r="K532" t="str" cm="1">
        <f t="array" ref="K532">_xlfn.IFS(J532&lt;600,"520-599",J532&lt;650,"600-649",J532&lt;700,"650-699",J532&lt;750,"700-749",TRUE,"750+")</f>
        <v>650-699</v>
      </c>
      <c r="L532" t="str" cm="1">
        <f t="array" ref="L532">_xlfn.IFS(E532&lt;20,"1. Under 20",E532&lt;30,"2. 20-29",E532&lt;40,"3. 30-39",E532&lt;50,"4. 40-49",E532&lt;60,"5. 50-59",E532&lt;70,"6. 60-69",E532&lt;80,"7. 70-79",TRUE,"8. 80+")</f>
        <v>8. 80+</v>
      </c>
      <c r="M532" t="str">
        <f t="shared" si="8"/>
        <v>2+ years</v>
      </c>
    </row>
    <row r="533" spans="1:13" x14ac:dyDescent="0.25">
      <c r="A533" t="s">
        <v>546</v>
      </c>
      <c r="B533" t="s">
        <v>6</v>
      </c>
      <c r="C533">
        <v>30800</v>
      </c>
      <c r="D533">
        <v>10.36</v>
      </c>
      <c r="E533">
        <v>45.1</v>
      </c>
      <c r="F533">
        <v>0</v>
      </c>
      <c r="G533" t="s">
        <v>10</v>
      </c>
      <c r="H533">
        <v>4</v>
      </c>
      <c r="I533">
        <v>78216</v>
      </c>
      <c r="J533">
        <v>683</v>
      </c>
      <c r="K533" t="str" cm="1">
        <f t="array" ref="K533">_xlfn.IFS(J533&lt;600,"520-599",J533&lt;650,"600-649",J533&lt;700,"650-699",J533&lt;750,"700-749",TRUE,"750+")</f>
        <v>650-699</v>
      </c>
      <c r="L533" t="str" cm="1">
        <f t="array" ref="L533">_xlfn.IFS(E533&lt;20,"1. Under 20",E533&lt;30,"2. 20-29",E533&lt;40,"3. 30-39",E533&lt;50,"4. 40-49",E533&lt;60,"5. 50-59",E533&lt;70,"6. 60-69",E533&lt;80,"7. 70-79",TRUE,"8. 80+")</f>
        <v>4. 40-49</v>
      </c>
      <c r="M533" t="str">
        <f t="shared" si="8"/>
        <v>2+ years</v>
      </c>
    </row>
    <row r="534" spans="1:13" x14ac:dyDescent="0.25">
      <c r="A534" t="s">
        <v>547</v>
      </c>
      <c r="B534" t="s">
        <v>21</v>
      </c>
      <c r="C534">
        <v>16700</v>
      </c>
      <c r="D534">
        <v>9.33</v>
      </c>
      <c r="E534">
        <v>32</v>
      </c>
      <c r="F534">
        <v>0</v>
      </c>
      <c r="G534" t="s">
        <v>10</v>
      </c>
      <c r="H534">
        <v>2</v>
      </c>
      <c r="I534">
        <v>92057</v>
      </c>
      <c r="J534">
        <v>850</v>
      </c>
      <c r="K534" t="str" cm="1">
        <f t="array" ref="K534">_xlfn.IFS(J534&lt;600,"520-599",J534&lt;650,"600-649",J534&lt;700,"650-699",J534&lt;750,"700-749",TRUE,"750+")</f>
        <v>750+</v>
      </c>
      <c r="L534" t="str" cm="1">
        <f t="array" ref="L534">_xlfn.IFS(E534&lt;20,"1. Under 20",E534&lt;30,"2. 20-29",E534&lt;40,"3. 30-39",E534&lt;50,"4. 40-49",E534&lt;60,"5. 50-59",E534&lt;70,"6. 60-69",E534&lt;80,"7. 70-79",TRUE,"8. 80+")</f>
        <v>3. 30-39</v>
      </c>
      <c r="M534" t="str">
        <f t="shared" si="8"/>
        <v>2+ years</v>
      </c>
    </row>
    <row r="535" spans="1:13" x14ac:dyDescent="0.25">
      <c r="A535" t="s">
        <v>548</v>
      </c>
      <c r="B535" t="s">
        <v>4</v>
      </c>
      <c r="C535">
        <v>38700</v>
      </c>
      <c r="D535">
        <v>10.47</v>
      </c>
      <c r="E535">
        <v>57.4</v>
      </c>
      <c r="F535">
        <v>0</v>
      </c>
      <c r="G535" t="s">
        <v>10</v>
      </c>
      <c r="H535">
        <v>2</v>
      </c>
      <c r="I535">
        <v>92057</v>
      </c>
      <c r="J535">
        <v>850</v>
      </c>
      <c r="K535" t="str" cm="1">
        <f t="array" ref="K535">_xlfn.IFS(J535&lt;600,"520-599",J535&lt;650,"600-649",J535&lt;700,"650-699",J535&lt;750,"700-749",TRUE,"750+")</f>
        <v>750+</v>
      </c>
      <c r="L535" t="str" cm="1">
        <f t="array" ref="L535">_xlfn.IFS(E535&lt;20,"1. Under 20",E535&lt;30,"2. 20-29",E535&lt;40,"3. 30-39",E535&lt;50,"4. 40-49",E535&lt;60,"5. 50-59",E535&lt;70,"6. 60-69",E535&lt;80,"7. 70-79",TRUE,"8. 80+")</f>
        <v>5. 50-59</v>
      </c>
      <c r="M535" t="str">
        <f t="shared" si="8"/>
        <v>2+ years</v>
      </c>
    </row>
    <row r="536" spans="1:13" x14ac:dyDescent="0.25">
      <c r="A536" t="s">
        <v>549</v>
      </c>
      <c r="B536" t="s">
        <v>4</v>
      </c>
      <c r="C536">
        <v>33700</v>
      </c>
      <c r="D536">
        <v>9.89</v>
      </c>
      <c r="E536">
        <v>15.6</v>
      </c>
      <c r="F536">
        <v>0</v>
      </c>
      <c r="G536" t="s">
        <v>2</v>
      </c>
      <c r="H536">
        <v>22</v>
      </c>
      <c r="I536">
        <v>137631</v>
      </c>
      <c r="J536">
        <v>797</v>
      </c>
      <c r="K536" t="str" cm="1">
        <f t="array" ref="K536">_xlfn.IFS(J536&lt;600,"520-599",J536&lt;650,"600-649",J536&lt;700,"650-699",J536&lt;750,"700-749",TRUE,"750+")</f>
        <v>750+</v>
      </c>
      <c r="L536" t="str" cm="1">
        <f t="array" ref="L536">_xlfn.IFS(E536&lt;20,"1. Under 20",E536&lt;30,"2. 20-29",E536&lt;40,"3. 30-39",E536&lt;50,"4. 40-49",E536&lt;60,"5. 50-59",E536&lt;70,"6. 60-69",E536&lt;80,"7. 70-79",TRUE,"8. 80+")</f>
        <v>1. Under 20</v>
      </c>
      <c r="M536" t="str">
        <f t="shared" si="8"/>
        <v>2+ years</v>
      </c>
    </row>
    <row r="537" spans="1:13" x14ac:dyDescent="0.25">
      <c r="A537" t="s">
        <v>550</v>
      </c>
      <c r="B537" t="s">
        <v>26</v>
      </c>
      <c r="C537">
        <v>7000</v>
      </c>
      <c r="D537">
        <v>12.74</v>
      </c>
      <c r="E537">
        <v>10.5</v>
      </c>
      <c r="F537">
        <v>0</v>
      </c>
      <c r="G537" t="s">
        <v>2</v>
      </c>
      <c r="H537">
        <v>12</v>
      </c>
      <c r="I537">
        <v>53326</v>
      </c>
      <c r="J537">
        <v>714</v>
      </c>
      <c r="K537" t="str" cm="1">
        <f t="array" ref="K537">_xlfn.IFS(J537&lt;600,"520-599",J537&lt;650,"600-649",J537&lt;700,"650-699",J537&lt;750,"700-749",TRUE,"750+")</f>
        <v>700-749</v>
      </c>
      <c r="L537" t="str" cm="1">
        <f t="array" ref="L537">_xlfn.IFS(E537&lt;20,"1. Under 20",E537&lt;30,"2. 20-29",E537&lt;40,"3. 30-39",E537&lt;50,"4. 40-49",E537&lt;60,"5. 50-59",E537&lt;70,"6. 60-69",E537&lt;80,"7. 70-79",TRUE,"8. 80+")</f>
        <v>1. Under 20</v>
      </c>
      <c r="M537" t="str">
        <f t="shared" si="8"/>
        <v>2+ years</v>
      </c>
    </row>
    <row r="538" spans="1:13" x14ac:dyDescent="0.25">
      <c r="A538" t="s">
        <v>551</v>
      </c>
      <c r="B538" t="s">
        <v>4</v>
      </c>
      <c r="C538">
        <v>23500</v>
      </c>
      <c r="D538">
        <v>10.74</v>
      </c>
      <c r="E538">
        <v>49.1</v>
      </c>
      <c r="F538">
        <v>0</v>
      </c>
      <c r="G538" t="s">
        <v>2</v>
      </c>
      <c r="H538">
        <v>16</v>
      </c>
      <c r="I538">
        <v>53487</v>
      </c>
      <c r="J538">
        <v>670</v>
      </c>
      <c r="K538" t="str" cm="1">
        <f t="array" ref="K538">_xlfn.IFS(J538&lt;600,"520-599",J538&lt;650,"600-649",J538&lt;700,"650-699",J538&lt;750,"700-749",TRUE,"750+")</f>
        <v>650-699</v>
      </c>
      <c r="L538" t="str" cm="1">
        <f t="array" ref="L538">_xlfn.IFS(E538&lt;20,"1. Under 20",E538&lt;30,"2. 20-29",E538&lt;40,"3. 30-39",E538&lt;50,"4. 40-49",E538&lt;60,"5. 50-59",E538&lt;70,"6. 60-69",E538&lt;80,"7. 70-79",TRUE,"8. 80+")</f>
        <v>4. 40-49</v>
      </c>
      <c r="M538" t="str">
        <f t="shared" si="8"/>
        <v>2+ years</v>
      </c>
    </row>
    <row r="539" spans="1:13" x14ac:dyDescent="0.25">
      <c r="A539" t="s">
        <v>552</v>
      </c>
      <c r="B539" t="s">
        <v>1</v>
      </c>
      <c r="C539">
        <v>30100</v>
      </c>
      <c r="D539">
        <v>9.07</v>
      </c>
      <c r="E539">
        <v>42.4</v>
      </c>
      <c r="F539">
        <v>0</v>
      </c>
      <c r="G539" t="s">
        <v>10</v>
      </c>
      <c r="H539">
        <v>12</v>
      </c>
      <c r="I539">
        <v>45566</v>
      </c>
      <c r="J539">
        <v>658</v>
      </c>
      <c r="K539" t="str" cm="1">
        <f t="array" ref="K539">_xlfn.IFS(J539&lt;600,"520-599",J539&lt;650,"600-649",J539&lt;700,"650-699",J539&lt;750,"700-749",TRUE,"750+")</f>
        <v>650-699</v>
      </c>
      <c r="L539" t="str" cm="1">
        <f t="array" ref="L539">_xlfn.IFS(E539&lt;20,"1. Under 20",E539&lt;30,"2. 20-29",E539&lt;40,"3. 30-39",E539&lt;50,"4. 40-49",E539&lt;60,"5. 50-59",E539&lt;70,"6. 60-69",E539&lt;80,"7. 70-79",TRUE,"8. 80+")</f>
        <v>4. 40-49</v>
      </c>
      <c r="M539" t="str">
        <f t="shared" si="8"/>
        <v>2+ years</v>
      </c>
    </row>
    <row r="540" spans="1:13" x14ac:dyDescent="0.25">
      <c r="A540" t="s">
        <v>553</v>
      </c>
      <c r="B540" t="s">
        <v>9</v>
      </c>
      <c r="C540">
        <v>40200</v>
      </c>
      <c r="D540">
        <v>10.18</v>
      </c>
      <c r="E540">
        <v>52.7</v>
      </c>
      <c r="F540">
        <v>0</v>
      </c>
      <c r="G540" t="s">
        <v>7</v>
      </c>
      <c r="H540">
        <v>4</v>
      </c>
      <c r="I540">
        <v>79148</v>
      </c>
      <c r="J540">
        <v>791</v>
      </c>
      <c r="K540" t="str" cm="1">
        <f t="array" ref="K540">_xlfn.IFS(J540&lt;600,"520-599",J540&lt;650,"600-649",J540&lt;700,"650-699",J540&lt;750,"700-749",TRUE,"750+")</f>
        <v>750+</v>
      </c>
      <c r="L540" t="str" cm="1">
        <f t="array" ref="L540">_xlfn.IFS(E540&lt;20,"1. Under 20",E540&lt;30,"2. 20-29",E540&lt;40,"3. 30-39",E540&lt;50,"4. 40-49",E540&lt;60,"5. 50-59",E540&lt;70,"6. 60-69",E540&lt;80,"7. 70-79",TRUE,"8. 80+")</f>
        <v>5. 50-59</v>
      </c>
      <c r="M540" t="str">
        <f t="shared" si="8"/>
        <v>2+ years</v>
      </c>
    </row>
    <row r="541" spans="1:13" x14ac:dyDescent="0.25">
      <c r="A541" t="s">
        <v>554</v>
      </c>
      <c r="B541" t="s">
        <v>13</v>
      </c>
      <c r="C541">
        <v>26900</v>
      </c>
      <c r="D541">
        <v>11.75</v>
      </c>
      <c r="E541">
        <v>45.4</v>
      </c>
      <c r="F541">
        <v>0</v>
      </c>
      <c r="G541" t="s">
        <v>7</v>
      </c>
      <c r="H541">
        <v>7</v>
      </c>
      <c r="I541">
        <v>43591</v>
      </c>
      <c r="J541">
        <v>590</v>
      </c>
      <c r="K541" t="str" cm="1">
        <f t="array" ref="K541">_xlfn.IFS(J541&lt;600,"520-599",J541&lt;650,"600-649",J541&lt;700,"650-699",J541&lt;750,"700-749",TRUE,"750+")</f>
        <v>520-599</v>
      </c>
      <c r="L541" t="str" cm="1">
        <f t="array" ref="L541">_xlfn.IFS(E541&lt;20,"1. Under 20",E541&lt;30,"2. 20-29",E541&lt;40,"3. 30-39",E541&lt;50,"4. 40-49",E541&lt;60,"5. 50-59",E541&lt;70,"6. 60-69",E541&lt;80,"7. 70-79",TRUE,"8. 80+")</f>
        <v>4. 40-49</v>
      </c>
      <c r="M541" t="str">
        <f t="shared" si="8"/>
        <v>2+ years</v>
      </c>
    </row>
    <row r="542" spans="1:13" x14ac:dyDescent="0.25">
      <c r="A542" t="s">
        <v>555</v>
      </c>
      <c r="B542" t="s">
        <v>19</v>
      </c>
      <c r="C542">
        <v>19600</v>
      </c>
      <c r="D542">
        <v>11.67</v>
      </c>
      <c r="E542">
        <v>59.4</v>
      </c>
      <c r="F542">
        <v>1</v>
      </c>
      <c r="G542" t="s">
        <v>23</v>
      </c>
      <c r="H542">
        <v>1</v>
      </c>
      <c r="I542">
        <v>45042</v>
      </c>
      <c r="J542">
        <v>740</v>
      </c>
      <c r="K542" t="str" cm="1">
        <f t="array" ref="K542">_xlfn.IFS(J542&lt;600,"520-599",J542&lt;650,"600-649",J542&lt;700,"650-699",J542&lt;750,"700-749",TRUE,"750+")</f>
        <v>700-749</v>
      </c>
      <c r="L542" t="str" cm="1">
        <f t="array" ref="L542">_xlfn.IFS(E542&lt;20,"1. Under 20",E542&lt;30,"2. 20-29",E542&lt;40,"3. 30-39",E542&lt;50,"4. 40-49",E542&lt;60,"5. 50-59",E542&lt;70,"6. 60-69",E542&lt;80,"7. 70-79",TRUE,"8. 80+")</f>
        <v>5. 50-59</v>
      </c>
      <c r="M542" t="str">
        <f t="shared" si="8"/>
        <v>Under 2 years</v>
      </c>
    </row>
    <row r="543" spans="1:13" x14ac:dyDescent="0.25">
      <c r="A543" t="s">
        <v>556</v>
      </c>
      <c r="B543" t="s">
        <v>15</v>
      </c>
      <c r="C543">
        <v>12600</v>
      </c>
      <c r="D543">
        <v>9.85</v>
      </c>
      <c r="E543">
        <v>28.5</v>
      </c>
      <c r="F543">
        <v>0</v>
      </c>
      <c r="G543" t="s">
        <v>23</v>
      </c>
      <c r="H543">
        <v>1</v>
      </c>
      <c r="I543">
        <v>45042</v>
      </c>
      <c r="J543">
        <v>740</v>
      </c>
      <c r="K543" t="str" cm="1">
        <f t="array" ref="K543">_xlfn.IFS(J543&lt;600,"520-599",J543&lt;650,"600-649",J543&lt;700,"650-699",J543&lt;750,"700-749",TRUE,"750+")</f>
        <v>700-749</v>
      </c>
      <c r="L543" t="str" cm="1">
        <f t="array" ref="L543">_xlfn.IFS(E543&lt;20,"1. Under 20",E543&lt;30,"2. 20-29",E543&lt;40,"3. 30-39",E543&lt;50,"4. 40-49",E543&lt;60,"5. 50-59",E543&lt;70,"6. 60-69",E543&lt;80,"7. 70-79",TRUE,"8. 80+")</f>
        <v>2. 20-29</v>
      </c>
      <c r="M543" t="str">
        <f t="shared" si="8"/>
        <v>Under 2 years</v>
      </c>
    </row>
    <row r="544" spans="1:13" x14ac:dyDescent="0.25">
      <c r="A544" t="s">
        <v>557</v>
      </c>
      <c r="B544" t="s">
        <v>4</v>
      </c>
      <c r="C544">
        <v>32100</v>
      </c>
      <c r="D544">
        <v>13.94</v>
      </c>
      <c r="E544">
        <v>61.3</v>
      </c>
      <c r="F544">
        <v>0</v>
      </c>
      <c r="G544" t="s">
        <v>10</v>
      </c>
      <c r="H544">
        <v>16</v>
      </c>
      <c r="I544">
        <v>49969</v>
      </c>
      <c r="J544">
        <v>615</v>
      </c>
      <c r="K544" t="str" cm="1">
        <f t="array" ref="K544">_xlfn.IFS(J544&lt;600,"520-599",J544&lt;650,"600-649",J544&lt;700,"650-699",J544&lt;750,"700-749",TRUE,"750+")</f>
        <v>600-649</v>
      </c>
      <c r="L544" t="str" cm="1">
        <f t="array" ref="L544">_xlfn.IFS(E544&lt;20,"1. Under 20",E544&lt;30,"2. 20-29",E544&lt;40,"3. 30-39",E544&lt;50,"4. 40-49",E544&lt;60,"5. 50-59",E544&lt;70,"6. 60-69",E544&lt;80,"7. 70-79",TRUE,"8. 80+")</f>
        <v>6. 60-69</v>
      </c>
      <c r="M544" t="str">
        <f t="shared" si="8"/>
        <v>2+ years</v>
      </c>
    </row>
    <row r="545" spans="1:13" x14ac:dyDescent="0.25">
      <c r="A545" t="s">
        <v>558</v>
      </c>
      <c r="B545" t="s">
        <v>26</v>
      </c>
      <c r="C545">
        <v>26800</v>
      </c>
      <c r="D545">
        <v>13.19</v>
      </c>
      <c r="E545">
        <v>56.8</v>
      </c>
      <c r="F545">
        <v>0</v>
      </c>
      <c r="G545" t="s">
        <v>10</v>
      </c>
      <c r="H545">
        <v>5</v>
      </c>
      <c r="I545">
        <v>87044</v>
      </c>
      <c r="J545">
        <v>685</v>
      </c>
      <c r="K545" t="str" cm="1">
        <f t="array" ref="K545">_xlfn.IFS(J545&lt;600,"520-599",J545&lt;650,"600-649",J545&lt;700,"650-699",J545&lt;750,"700-749",TRUE,"750+")</f>
        <v>650-699</v>
      </c>
      <c r="L545" t="str" cm="1">
        <f t="array" ref="L545">_xlfn.IFS(E545&lt;20,"1. Under 20",E545&lt;30,"2. 20-29",E545&lt;40,"3. 30-39",E545&lt;50,"4. 40-49",E545&lt;60,"5. 50-59",E545&lt;70,"6. 60-69",E545&lt;80,"7. 70-79",TRUE,"8. 80+")</f>
        <v>5. 50-59</v>
      </c>
      <c r="M545" t="str">
        <f t="shared" si="8"/>
        <v>2+ years</v>
      </c>
    </row>
    <row r="546" spans="1:13" x14ac:dyDescent="0.25">
      <c r="A546" t="s">
        <v>559</v>
      </c>
      <c r="B546" t="s">
        <v>13</v>
      </c>
      <c r="C546">
        <v>13000</v>
      </c>
      <c r="D546">
        <v>7.77</v>
      </c>
      <c r="E546">
        <v>32.9</v>
      </c>
      <c r="F546">
        <v>0</v>
      </c>
      <c r="G546" t="s">
        <v>7</v>
      </c>
      <c r="H546">
        <v>12</v>
      </c>
      <c r="I546">
        <v>35993</v>
      </c>
      <c r="J546">
        <v>823</v>
      </c>
      <c r="K546" t="str" cm="1">
        <f t="array" ref="K546">_xlfn.IFS(J546&lt;600,"520-599",J546&lt;650,"600-649",J546&lt;700,"650-699",J546&lt;750,"700-749",TRUE,"750+")</f>
        <v>750+</v>
      </c>
      <c r="L546" t="str" cm="1">
        <f t="array" ref="L546">_xlfn.IFS(E546&lt;20,"1. Under 20",E546&lt;30,"2. 20-29",E546&lt;40,"3. 30-39",E546&lt;50,"4. 40-49",E546&lt;60,"5. 50-59",E546&lt;70,"6. 60-69",E546&lt;80,"7. 70-79",TRUE,"8. 80+")</f>
        <v>3. 30-39</v>
      </c>
      <c r="M546" t="str">
        <f t="shared" si="8"/>
        <v>2+ years</v>
      </c>
    </row>
    <row r="547" spans="1:13" x14ac:dyDescent="0.25">
      <c r="A547" t="s">
        <v>560</v>
      </c>
      <c r="B547" t="s">
        <v>9</v>
      </c>
      <c r="C547">
        <v>12200</v>
      </c>
      <c r="D547">
        <v>9.42</v>
      </c>
      <c r="E547">
        <v>32</v>
      </c>
      <c r="F547">
        <v>0</v>
      </c>
      <c r="G547" t="s">
        <v>7</v>
      </c>
      <c r="H547">
        <v>12</v>
      </c>
      <c r="I547">
        <v>35993</v>
      </c>
      <c r="J547">
        <v>823</v>
      </c>
      <c r="K547" t="str" cm="1">
        <f t="array" ref="K547">_xlfn.IFS(J547&lt;600,"520-599",J547&lt;650,"600-649",J547&lt;700,"650-699",J547&lt;750,"700-749",TRUE,"750+")</f>
        <v>750+</v>
      </c>
      <c r="L547" t="str" cm="1">
        <f t="array" ref="L547">_xlfn.IFS(E547&lt;20,"1. Under 20",E547&lt;30,"2. 20-29",E547&lt;40,"3. 30-39",E547&lt;50,"4. 40-49",E547&lt;60,"5. 50-59",E547&lt;70,"6. 60-69",E547&lt;80,"7. 70-79",TRUE,"8. 80+")</f>
        <v>3. 30-39</v>
      </c>
      <c r="M547" t="str">
        <f t="shared" si="8"/>
        <v>2+ years</v>
      </c>
    </row>
    <row r="548" spans="1:13" x14ac:dyDescent="0.25">
      <c r="A548" t="s">
        <v>561</v>
      </c>
      <c r="B548" t="s">
        <v>9</v>
      </c>
      <c r="C548">
        <v>6500</v>
      </c>
      <c r="D548">
        <v>13.44</v>
      </c>
      <c r="E548">
        <v>34.799999999999997</v>
      </c>
      <c r="F548">
        <v>0</v>
      </c>
      <c r="G548" t="s">
        <v>7</v>
      </c>
      <c r="H548">
        <v>24</v>
      </c>
      <c r="I548">
        <v>56685</v>
      </c>
      <c r="J548">
        <v>647</v>
      </c>
      <c r="K548" t="str" cm="1">
        <f t="array" ref="K548">_xlfn.IFS(J548&lt;600,"520-599",J548&lt;650,"600-649",J548&lt;700,"650-699",J548&lt;750,"700-749",TRUE,"750+")</f>
        <v>600-649</v>
      </c>
      <c r="L548" t="str" cm="1">
        <f t="array" ref="L548">_xlfn.IFS(E548&lt;20,"1. Under 20",E548&lt;30,"2. 20-29",E548&lt;40,"3. 30-39",E548&lt;50,"4. 40-49",E548&lt;60,"5. 50-59",E548&lt;70,"6. 60-69",E548&lt;80,"7. 70-79",TRUE,"8. 80+")</f>
        <v>3. 30-39</v>
      </c>
      <c r="M548" t="str">
        <f t="shared" si="8"/>
        <v>2+ years</v>
      </c>
    </row>
    <row r="549" spans="1:13" x14ac:dyDescent="0.25">
      <c r="A549" t="s">
        <v>562</v>
      </c>
      <c r="B549" t="s">
        <v>17</v>
      </c>
      <c r="C549">
        <v>19500</v>
      </c>
      <c r="D549">
        <v>12.75</v>
      </c>
      <c r="E549">
        <v>54.1</v>
      </c>
      <c r="F549">
        <v>0</v>
      </c>
      <c r="G549" t="s">
        <v>10</v>
      </c>
      <c r="H549">
        <v>30</v>
      </c>
      <c r="I549">
        <v>79231</v>
      </c>
      <c r="J549">
        <v>625</v>
      </c>
      <c r="K549" t="str" cm="1">
        <f t="array" ref="K549">_xlfn.IFS(J549&lt;600,"520-599",J549&lt;650,"600-649",J549&lt;700,"650-699",J549&lt;750,"700-749",TRUE,"750+")</f>
        <v>600-649</v>
      </c>
      <c r="L549" t="str" cm="1">
        <f t="array" ref="L549">_xlfn.IFS(E549&lt;20,"1. Under 20",E549&lt;30,"2. 20-29",E549&lt;40,"3. 30-39",E549&lt;50,"4. 40-49",E549&lt;60,"5. 50-59",E549&lt;70,"6. 60-69",E549&lt;80,"7. 70-79",TRUE,"8. 80+")</f>
        <v>5. 50-59</v>
      </c>
      <c r="M549" t="str">
        <f t="shared" si="8"/>
        <v>2+ years</v>
      </c>
    </row>
    <row r="550" spans="1:13" x14ac:dyDescent="0.25">
      <c r="A550" t="s">
        <v>563</v>
      </c>
      <c r="B550" t="s">
        <v>26</v>
      </c>
      <c r="C550">
        <v>43000</v>
      </c>
      <c r="D550">
        <v>10.71</v>
      </c>
      <c r="E550">
        <v>79.900000000000006</v>
      </c>
      <c r="F550">
        <v>0</v>
      </c>
      <c r="G550" t="s">
        <v>7</v>
      </c>
      <c r="H550">
        <v>34</v>
      </c>
      <c r="I550">
        <v>111175</v>
      </c>
      <c r="J550">
        <v>850</v>
      </c>
      <c r="K550" t="str" cm="1">
        <f t="array" ref="K550">_xlfn.IFS(J550&lt;600,"520-599",J550&lt;650,"600-649",J550&lt;700,"650-699",J550&lt;750,"700-749",TRUE,"750+")</f>
        <v>750+</v>
      </c>
      <c r="L550" t="str" cm="1">
        <f t="array" ref="L550">_xlfn.IFS(E550&lt;20,"1. Under 20",E550&lt;30,"2. 20-29",E550&lt;40,"3. 30-39",E550&lt;50,"4. 40-49",E550&lt;60,"5. 50-59",E550&lt;70,"6. 60-69",E550&lt;80,"7. 70-79",TRUE,"8. 80+")</f>
        <v>7. 70-79</v>
      </c>
      <c r="M550" t="str">
        <f t="shared" si="8"/>
        <v>2+ years</v>
      </c>
    </row>
    <row r="551" spans="1:13" x14ac:dyDescent="0.25">
      <c r="A551" t="s">
        <v>564</v>
      </c>
      <c r="B551" t="s">
        <v>9</v>
      </c>
      <c r="C551">
        <v>11300</v>
      </c>
      <c r="D551">
        <v>9.33</v>
      </c>
      <c r="E551">
        <v>70.8</v>
      </c>
      <c r="F551">
        <v>0</v>
      </c>
      <c r="G551" t="s">
        <v>7</v>
      </c>
      <c r="H551">
        <v>13</v>
      </c>
      <c r="I551">
        <v>43371</v>
      </c>
      <c r="J551">
        <v>801</v>
      </c>
      <c r="K551" t="str" cm="1">
        <f t="array" ref="K551">_xlfn.IFS(J551&lt;600,"520-599",J551&lt;650,"600-649",J551&lt;700,"650-699",J551&lt;750,"700-749",TRUE,"750+")</f>
        <v>750+</v>
      </c>
      <c r="L551" t="str" cm="1">
        <f t="array" ref="L551">_xlfn.IFS(E551&lt;20,"1. Under 20",E551&lt;30,"2. 20-29",E551&lt;40,"3. 30-39",E551&lt;50,"4. 40-49",E551&lt;60,"5. 50-59",E551&lt;70,"6. 60-69",E551&lt;80,"7. 70-79",TRUE,"8. 80+")</f>
        <v>7. 70-79</v>
      </c>
      <c r="M551" t="str">
        <f t="shared" si="8"/>
        <v>2+ years</v>
      </c>
    </row>
    <row r="552" spans="1:13" x14ac:dyDescent="0.25">
      <c r="A552" t="s">
        <v>565</v>
      </c>
      <c r="B552" t="s">
        <v>19</v>
      </c>
      <c r="C552">
        <v>5900</v>
      </c>
      <c r="D552">
        <v>9.74</v>
      </c>
      <c r="E552">
        <v>23.6</v>
      </c>
      <c r="F552">
        <v>0</v>
      </c>
      <c r="G552" t="s">
        <v>2</v>
      </c>
      <c r="H552">
        <v>3</v>
      </c>
      <c r="I552">
        <v>89186</v>
      </c>
      <c r="J552">
        <v>834</v>
      </c>
      <c r="K552" t="str" cm="1">
        <f t="array" ref="K552">_xlfn.IFS(J552&lt;600,"520-599",J552&lt;650,"600-649",J552&lt;700,"650-699",J552&lt;750,"700-749",TRUE,"750+")</f>
        <v>750+</v>
      </c>
      <c r="L552" t="str" cm="1">
        <f t="array" ref="L552">_xlfn.IFS(E552&lt;20,"1. Under 20",E552&lt;30,"2. 20-29",E552&lt;40,"3. 30-39",E552&lt;50,"4. 40-49",E552&lt;60,"5. 50-59",E552&lt;70,"6. 60-69",E552&lt;80,"7. 70-79",TRUE,"8. 80+")</f>
        <v>2. 20-29</v>
      </c>
      <c r="M552" t="str">
        <f t="shared" si="8"/>
        <v>2+ years</v>
      </c>
    </row>
    <row r="553" spans="1:13" x14ac:dyDescent="0.25">
      <c r="A553" t="s">
        <v>566</v>
      </c>
      <c r="B553" t="s">
        <v>6</v>
      </c>
      <c r="C553">
        <v>24400</v>
      </c>
      <c r="D553">
        <v>11.75</v>
      </c>
      <c r="E553">
        <v>47</v>
      </c>
      <c r="F553">
        <v>0</v>
      </c>
      <c r="G553" t="s">
        <v>10</v>
      </c>
      <c r="H553">
        <v>0</v>
      </c>
      <c r="I553">
        <v>48279</v>
      </c>
      <c r="J553">
        <v>626</v>
      </c>
      <c r="K553" t="str" cm="1">
        <f t="array" ref="K553">_xlfn.IFS(J553&lt;600,"520-599",J553&lt;650,"600-649",J553&lt;700,"650-699",J553&lt;750,"700-749",TRUE,"750+")</f>
        <v>600-649</v>
      </c>
      <c r="L553" t="str" cm="1">
        <f t="array" ref="L553">_xlfn.IFS(E553&lt;20,"1. Under 20",E553&lt;30,"2. 20-29",E553&lt;40,"3. 30-39",E553&lt;50,"4. 40-49",E553&lt;60,"5. 50-59",E553&lt;70,"6. 60-69",E553&lt;80,"7. 70-79",TRUE,"8. 80+")</f>
        <v>4. 40-49</v>
      </c>
      <c r="M553" t="str">
        <f t="shared" si="8"/>
        <v>Under 2 years</v>
      </c>
    </row>
    <row r="554" spans="1:13" x14ac:dyDescent="0.25">
      <c r="A554" t="s">
        <v>567</v>
      </c>
      <c r="B554" t="s">
        <v>9</v>
      </c>
      <c r="C554">
        <v>6900</v>
      </c>
      <c r="D554">
        <v>10.039999999999999</v>
      </c>
      <c r="E554">
        <v>38</v>
      </c>
      <c r="F554">
        <v>0</v>
      </c>
      <c r="G554" t="s">
        <v>2</v>
      </c>
      <c r="H554">
        <v>26</v>
      </c>
      <c r="I554">
        <v>46609</v>
      </c>
      <c r="J554">
        <v>691</v>
      </c>
      <c r="K554" t="str" cm="1">
        <f t="array" ref="K554">_xlfn.IFS(J554&lt;600,"520-599",J554&lt;650,"600-649",J554&lt;700,"650-699",J554&lt;750,"700-749",TRUE,"750+")</f>
        <v>650-699</v>
      </c>
      <c r="L554" t="str" cm="1">
        <f t="array" ref="L554">_xlfn.IFS(E554&lt;20,"1. Under 20",E554&lt;30,"2. 20-29",E554&lt;40,"3. 30-39",E554&lt;50,"4. 40-49",E554&lt;60,"5. 50-59",E554&lt;70,"6. 60-69",E554&lt;80,"7. 70-79",TRUE,"8. 80+")</f>
        <v>3. 30-39</v>
      </c>
      <c r="M554" t="str">
        <f t="shared" si="8"/>
        <v>2+ years</v>
      </c>
    </row>
    <row r="555" spans="1:13" x14ac:dyDescent="0.25">
      <c r="A555" t="s">
        <v>568</v>
      </c>
      <c r="B555" t="s">
        <v>4</v>
      </c>
      <c r="C555">
        <v>14300</v>
      </c>
      <c r="D555">
        <v>11.6</v>
      </c>
      <c r="E555">
        <v>46.4</v>
      </c>
      <c r="F555">
        <v>0</v>
      </c>
      <c r="G555" t="s">
        <v>2</v>
      </c>
      <c r="H555">
        <v>26</v>
      </c>
      <c r="I555">
        <v>46609</v>
      </c>
      <c r="J555">
        <v>691</v>
      </c>
      <c r="K555" t="str" cm="1">
        <f t="array" ref="K555">_xlfn.IFS(J555&lt;600,"520-599",J555&lt;650,"600-649",J555&lt;700,"650-699",J555&lt;750,"700-749",TRUE,"750+")</f>
        <v>650-699</v>
      </c>
      <c r="L555" t="str" cm="1">
        <f t="array" ref="L555">_xlfn.IFS(E555&lt;20,"1. Under 20",E555&lt;30,"2. 20-29",E555&lt;40,"3. 30-39",E555&lt;50,"4. 40-49",E555&lt;60,"5. 50-59",E555&lt;70,"6. 60-69",E555&lt;80,"7. 70-79",TRUE,"8. 80+")</f>
        <v>4. 40-49</v>
      </c>
      <c r="M555" t="str">
        <f t="shared" si="8"/>
        <v>2+ years</v>
      </c>
    </row>
    <row r="556" spans="1:13" x14ac:dyDescent="0.25">
      <c r="A556" t="s">
        <v>569</v>
      </c>
      <c r="B556" t="s">
        <v>17</v>
      </c>
      <c r="C556">
        <v>44700</v>
      </c>
      <c r="D556">
        <v>9.92</v>
      </c>
      <c r="E556">
        <v>46.1</v>
      </c>
      <c r="F556">
        <v>0</v>
      </c>
      <c r="G556" t="s">
        <v>7</v>
      </c>
      <c r="H556">
        <v>12</v>
      </c>
      <c r="I556">
        <v>85972</v>
      </c>
      <c r="J556">
        <v>681</v>
      </c>
      <c r="K556" t="str" cm="1">
        <f t="array" ref="K556">_xlfn.IFS(J556&lt;600,"520-599",J556&lt;650,"600-649",J556&lt;700,"650-699",J556&lt;750,"700-749",TRUE,"750+")</f>
        <v>650-699</v>
      </c>
      <c r="L556" t="str" cm="1">
        <f t="array" ref="L556">_xlfn.IFS(E556&lt;20,"1. Under 20",E556&lt;30,"2. 20-29",E556&lt;40,"3. 30-39",E556&lt;50,"4. 40-49",E556&lt;60,"5. 50-59",E556&lt;70,"6. 60-69",E556&lt;80,"7. 70-79",TRUE,"8. 80+")</f>
        <v>4. 40-49</v>
      </c>
      <c r="M556" t="str">
        <f t="shared" si="8"/>
        <v>2+ years</v>
      </c>
    </row>
    <row r="557" spans="1:13" x14ac:dyDescent="0.25">
      <c r="A557" t="s">
        <v>570</v>
      </c>
      <c r="B557" t="s">
        <v>13</v>
      </c>
      <c r="C557">
        <v>4600</v>
      </c>
      <c r="D557">
        <v>10.78</v>
      </c>
      <c r="E557">
        <v>17.600000000000001</v>
      </c>
      <c r="F557">
        <v>0</v>
      </c>
      <c r="G557" t="s">
        <v>23</v>
      </c>
      <c r="H557">
        <v>9</v>
      </c>
      <c r="I557">
        <v>31235</v>
      </c>
      <c r="J557">
        <v>682</v>
      </c>
      <c r="K557" t="str" cm="1">
        <f t="array" ref="K557">_xlfn.IFS(J557&lt;600,"520-599",J557&lt;650,"600-649",J557&lt;700,"650-699",J557&lt;750,"700-749",TRUE,"750+")</f>
        <v>650-699</v>
      </c>
      <c r="L557" t="str" cm="1">
        <f t="array" ref="L557">_xlfn.IFS(E557&lt;20,"1. Under 20",E557&lt;30,"2. 20-29",E557&lt;40,"3. 30-39",E557&lt;50,"4. 40-49",E557&lt;60,"5. 50-59",E557&lt;70,"6. 60-69",E557&lt;80,"7. 70-79",TRUE,"8. 80+")</f>
        <v>1. Under 20</v>
      </c>
      <c r="M557" t="str">
        <f t="shared" si="8"/>
        <v>2+ years</v>
      </c>
    </row>
    <row r="558" spans="1:13" x14ac:dyDescent="0.25">
      <c r="A558" t="s">
        <v>571</v>
      </c>
      <c r="B558" t="s">
        <v>13</v>
      </c>
      <c r="C558">
        <v>6000</v>
      </c>
      <c r="D558">
        <v>10.23</v>
      </c>
      <c r="E558">
        <v>32.200000000000003</v>
      </c>
      <c r="F558">
        <v>0</v>
      </c>
      <c r="G558" t="s">
        <v>23</v>
      </c>
      <c r="H558">
        <v>9</v>
      </c>
      <c r="I558">
        <v>31235</v>
      </c>
      <c r="J558">
        <v>682</v>
      </c>
      <c r="K558" t="str" cm="1">
        <f t="array" ref="K558">_xlfn.IFS(J558&lt;600,"520-599",J558&lt;650,"600-649",J558&lt;700,"650-699",J558&lt;750,"700-749",TRUE,"750+")</f>
        <v>650-699</v>
      </c>
      <c r="L558" t="str" cm="1">
        <f t="array" ref="L558">_xlfn.IFS(E558&lt;20,"1. Under 20",E558&lt;30,"2. 20-29",E558&lt;40,"3. 30-39",E558&lt;50,"4. 40-49",E558&lt;60,"5. 50-59",E558&lt;70,"6. 60-69",E558&lt;80,"7. 70-79",TRUE,"8. 80+")</f>
        <v>3. 30-39</v>
      </c>
      <c r="M558" t="str">
        <f t="shared" si="8"/>
        <v>2+ years</v>
      </c>
    </row>
    <row r="559" spans="1:13" x14ac:dyDescent="0.25">
      <c r="A559" t="s">
        <v>572</v>
      </c>
      <c r="B559" t="s">
        <v>19</v>
      </c>
      <c r="C559">
        <v>20000</v>
      </c>
      <c r="D559">
        <v>10.86</v>
      </c>
      <c r="E559">
        <v>55.4</v>
      </c>
      <c r="F559">
        <v>1</v>
      </c>
      <c r="G559" t="s">
        <v>7</v>
      </c>
      <c r="H559">
        <v>6</v>
      </c>
      <c r="I559">
        <v>49965</v>
      </c>
      <c r="J559">
        <v>612</v>
      </c>
      <c r="K559" t="str" cm="1">
        <f t="array" ref="K559">_xlfn.IFS(J559&lt;600,"520-599",J559&lt;650,"600-649",J559&lt;700,"650-699",J559&lt;750,"700-749",TRUE,"750+")</f>
        <v>600-649</v>
      </c>
      <c r="L559" t="str" cm="1">
        <f t="array" ref="L559">_xlfn.IFS(E559&lt;20,"1. Under 20",E559&lt;30,"2. 20-29",E559&lt;40,"3. 30-39",E559&lt;50,"4. 40-49",E559&lt;60,"5. 50-59",E559&lt;70,"6. 60-69",E559&lt;80,"7. 70-79",TRUE,"8. 80+")</f>
        <v>5. 50-59</v>
      </c>
      <c r="M559" t="str">
        <f t="shared" si="8"/>
        <v>2+ years</v>
      </c>
    </row>
    <row r="560" spans="1:13" x14ac:dyDescent="0.25">
      <c r="A560" t="s">
        <v>573</v>
      </c>
      <c r="B560" t="s">
        <v>17</v>
      </c>
      <c r="C560">
        <v>33000</v>
      </c>
      <c r="D560">
        <v>7.42</v>
      </c>
      <c r="E560">
        <v>70.099999999999994</v>
      </c>
      <c r="F560">
        <v>1</v>
      </c>
      <c r="G560" t="s">
        <v>2</v>
      </c>
      <c r="H560">
        <v>0</v>
      </c>
      <c r="I560">
        <v>50855</v>
      </c>
      <c r="J560">
        <v>850</v>
      </c>
      <c r="K560" t="str" cm="1">
        <f t="array" ref="K560">_xlfn.IFS(J560&lt;600,"520-599",J560&lt;650,"600-649",J560&lt;700,"650-699",J560&lt;750,"700-749",TRUE,"750+")</f>
        <v>750+</v>
      </c>
      <c r="L560" t="str" cm="1">
        <f t="array" ref="L560">_xlfn.IFS(E560&lt;20,"1. Under 20",E560&lt;30,"2. 20-29",E560&lt;40,"3. 30-39",E560&lt;50,"4. 40-49",E560&lt;60,"5. 50-59",E560&lt;70,"6. 60-69",E560&lt;80,"7. 70-79",TRUE,"8. 80+")</f>
        <v>7. 70-79</v>
      </c>
      <c r="M560" t="str">
        <f t="shared" si="8"/>
        <v>Under 2 years</v>
      </c>
    </row>
    <row r="561" spans="1:13" x14ac:dyDescent="0.25">
      <c r="A561" t="s">
        <v>574</v>
      </c>
      <c r="B561" t="s">
        <v>1</v>
      </c>
      <c r="C561">
        <v>4900</v>
      </c>
      <c r="D561">
        <v>6.69</v>
      </c>
      <c r="E561">
        <v>50</v>
      </c>
      <c r="F561">
        <v>0</v>
      </c>
      <c r="G561" t="s">
        <v>7</v>
      </c>
      <c r="H561">
        <v>1</v>
      </c>
      <c r="I561">
        <v>35453</v>
      </c>
      <c r="J561">
        <v>836</v>
      </c>
      <c r="K561" t="str" cm="1">
        <f t="array" ref="K561">_xlfn.IFS(J561&lt;600,"520-599",J561&lt;650,"600-649",J561&lt;700,"650-699",J561&lt;750,"700-749",TRUE,"750+")</f>
        <v>750+</v>
      </c>
      <c r="L561" t="str" cm="1">
        <f t="array" ref="L561">_xlfn.IFS(E561&lt;20,"1. Under 20",E561&lt;30,"2. 20-29",E561&lt;40,"3. 30-39",E561&lt;50,"4. 40-49",E561&lt;60,"5. 50-59",E561&lt;70,"6. 60-69",E561&lt;80,"7. 70-79",TRUE,"8. 80+")</f>
        <v>5. 50-59</v>
      </c>
      <c r="M561" t="str">
        <f t="shared" si="8"/>
        <v>Under 2 years</v>
      </c>
    </row>
    <row r="562" spans="1:13" x14ac:dyDescent="0.25">
      <c r="A562" t="s">
        <v>575</v>
      </c>
      <c r="B562" t="s">
        <v>21</v>
      </c>
      <c r="C562">
        <v>15400</v>
      </c>
      <c r="D562">
        <v>11.01</v>
      </c>
      <c r="E562">
        <v>47</v>
      </c>
      <c r="F562">
        <v>0</v>
      </c>
      <c r="G562" t="s">
        <v>7</v>
      </c>
      <c r="H562">
        <v>1</v>
      </c>
      <c r="I562">
        <v>35453</v>
      </c>
      <c r="J562">
        <v>836</v>
      </c>
      <c r="K562" t="str" cm="1">
        <f t="array" ref="K562">_xlfn.IFS(J562&lt;600,"520-599",J562&lt;650,"600-649",J562&lt;700,"650-699",J562&lt;750,"700-749",TRUE,"750+")</f>
        <v>750+</v>
      </c>
      <c r="L562" t="str" cm="1">
        <f t="array" ref="L562">_xlfn.IFS(E562&lt;20,"1. Under 20",E562&lt;30,"2. 20-29",E562&lt;40,"3. 30-39",E562&lt;50,"4. 40-49",E562&lt;60,"5. 50-59",E562&lt;70,"6. 60-69",E562&lt;80,"7. 70-79",TRUE,"8. 80+")</f>
        <v>4. 40-49</v>
      </c>
      <c r="M562" t="str">
        <f t="shared" si="8"/>
        <v>Under 2 years</v>
      </c>
    </row>
    <row r="563" spans="1:13" x14ac:dyDescent="0.25">
      <c r="A563" t="s">
        <v>576</v>
      </c>
      <c r="B563" t="s">
        <v>6</v>
      </c>
      <c r="C563">
        <v>5000</v>
      </c>
      <c r="D563">
        <v>12.2</v>
      </c>
      <c r="E563">
        <v>79.2</v>
      </c>
      <c r="F563">
        <v>0</v>
      </c>
      <c r="G563" t="s">
        <v>29</v>
      </c>
      <c r="H563">
        <v>31</v>
      </c>
      <c r="I563">
        <v>19232</v>
      </c>
      <c r="J563">
        <v>609</v>
      </c>
      <c r="K563" t="str" cm="1">
        <f t="array" ref="K563">_xlfn.IFS(J563&lt;600,"520-599",J563&lt;650,"600-649",J563&lt;700,"650-699",J563&lt;750,"700-749",TRUE,"750+")</f>
        <v>600-649</v>
      </c>
      <c r="L563" t="str" cm="1">
        <f t="array" ref="L563">_xlfn.IFS(E563&lt;20,"1. Under 20",E563&lt;30,"2. 20-29",E563&lt;40,"3. 30-39",E563&lt;50,"4. 40-49",E563&lt;60,"5. 50-59",E563&lt;70,"6. 60-69",E563&lt;80,"7. 70-79",TRUE,"8. 80+")</f>
        <v>7. 70-79</v>
      </c>
      <c r="M563" t="str">
        <f t="shared" si="8"/>
        <v>2+ years</v>
      </c>
    </row>
    <row r="564" spans="1:13" x14ac:dyDescent="0.25">
      <c r="A564" t="s">
        <v>577</v>
      </c>
      <c r="B564" t="s">
        <v>4</v>
      </c>
      <c r="C564">
        <v>6300</v>
      </c>
      <c r="D564">
        <v>12.91</v>
      </c>
      <c r="E564">
        <v>62</v>
      </c>
      <c r="F564">
        <v>1</v>
      </c>
      <c r="G564" t="s">
        <v>29</v>
      </c>
      <c r="H564">
        <v>31</v>
      </c>
      <c r="I564">
        <v>19232</v>
      </c>
      <c r="J564">
        <v>609</v>
      </c>
      <c r="K564" t="str" cm="1">
        <f t="array" ref="K564">_xlfn.IFS(J564&lt;600,"520-599",J564&lt;650,"600-649",J564&lt;700,"650-699",J564&lt;750,"700-749",TRUE,"750+")</f>
        <v>600-649</v>
      </c>
      <c r="L564" t="str" cm="1">
        <f t="array" ref="L564">_xlfn.IFS(E564&lt;20,"1. Under 20",E564&lt;30,"2. 20-29",E564&lt;40,"3. 30-39",E564&lt;50,"4. 40-49",E564&lt;60,"5. 50-59",E564&lt;70,"6. 60-69",E564&lt;80,"7. 70-79",TRUE,"8. 80+")</f>
        <v>6. 60-69</v>
      </c>
      <c r="M564" t="str">
        <f t="shared" si="8"/>
        <v>2+ years</v>
      </c>
    </row>
    <row r="565" spans="1:13" x14ac:dyDescent="0.25">
      <c r="A565" t="s">
        <v>578</v>
      </c>
      <c r="B565" t="s">
        <v>17</v>
      </c>
      <c r="C565">
        <v>47000</v>
      </c>
      <c r="D565">
        <v>6.91</v>
      </c>
      <c r="E565">
        <v>102.4</v>
      </c>
      <c r="F565">
        <v>0</v>
      </c>
      <c r="G565" t="s">
        <v>7</v>
      </c>
      <c r="H565">
        <v>14</v>
      </c>
      <c r="I565">
        <v>57097</v>
      </c>
      <c r="J565">
        <v>794</v>
      </c>
      <c r="K565" t="str" cm="1">
        <f t="array" ref="K565">_xlfn.IFS(J565&lt;600,"520-599",J565&lt;650,"600-649",J565&lt;700,"650-699",J565&lt;750,"700-749",TRUE,"750+")</f>
        <v>750+</v>
      </c>
      <c r="L565" t="str" cm="1">
        <f t="array" ref="L565">_xlfn.IFS(E565&lt;20,"1. Under 20",E565&lt;30,"2. 20-29",E565&lt;40,"3. 30-39",E565&lt;50,"4. 40-49",E565&lt;60,"5. 50-59",E565&lt;70,"6. 60-69",E565&lt;80,"7. 70-79",TRUE,"8. 80+")</f>
        <v>8. 80+</v>
      </c>
      <c r="M565" t="str">
        <f t="shared" si="8"/>
        <v>2+ years</v>
      </c>
    </row>
    <row r="566" spans="1:13" x14ac:dyDescent="0.25">
      <c r="A566" t="s">
        <v>579</v>
      </c>
      <c r="B566" t="s">
        <v>4</v>
      </c>
      <c r="C566">
        <v>6200</v>
      </c>
      <c r="D566">
        <v>11.68</v>
      </c>
      <c r="E566">
        <v>33.5</v>
      </c>
      <c r="F566">
        <v>0</v>
      </c>
      <c r="G566" t="s">
        <v>7</v>
      </c>
      <c r="H566">
        <v>1</v>
      </c>
      <c r="I566">
        <v>95335</v>
      </c>
      <c r="J566">
        <v>744</v>
      </c>
      <c r="K566" t="str" cm="1">
        <f t="array" ref="K566">_xlfn.IFS(J566&lt;600,"520-599",J566&lt;650,"600-649",J566&lt;700,"650-699",J566&lt;750,"700-749",TRUE,"750+")</f>
        <v>700-749</v>
      </c>
      <c r="L566" t="str" cm="1">
        <f t="array" ref="L566">_xlfn.IFS(E566&lt;20,"1. Under 20",E566&lt;30,"2. 20-29",E566&lt;40,"3. 30-39",E566&lt;50,"4. 40-49",E566&lt;60,"5. 50-59",E566&lt;70,"6. 60-69",E566&lt;80,"7. 70-79",TRUE,"8. 80+")</f>
        <v>3. 30-39</v>
      </c>
      <c r="M566" t="str">
        <f t="shared" si="8"/>
        <v>Under 2 years</v>
      </c>
    </row>
    <row r="567" spans="1:13" x14ac:dyDescent="0.25">
      <c r="A567" t="s">
        <v>580</v>
      </c>
      <c r="B567" t="s">
        <v>21</v>
      </c>
      <c r="C567">
        <v>39200</v>
      </c>
      <c r="D567">
        <v>8.92</v>
      </c>
      <c r="E567">
        <v>74</v>
      </c>
      <c r="F567">
        <v>1</v>
      </c>
      <c r="G567" t="s">
        <v>7</v>
      </c>
      <c r="H567">
        <v>1</v>
      </c>
      <c r="I567">
        <v>95335</v>
      </c>
      <c r="J567">
        <v>744</v>
      </c>
      <c r="K567" t="str" cm="1">
        <f t="array" ref="K567">_xlfn.IFS(J567&lt;600,"520-599",J567&lt;650,"600-649",J567&lt;700,"650-699",J567&lt;750,"700-749",TRUE,"750+")</f>
        <v>700-749</v>
      </c>
      <c r="L567" t="str" cm="1">
        <f t="array" ref="L567">_xlfn.IFS(E567&lt;20,"1. Under 20",E567&lt;30,"2. 20-29",E567&lt;40,"3. 30-39",E567&lt;50,"4. 40-49",E567&lt;60,"5. 50-59",E567&lt;70,"6. 60-69",E567&lt;80,"7. 70-79",TRUE,"8. 80+")</f>
        <v>7. 70-79</v>
      </c>
      <c r="M567" t="str">
        <f t="shared" si="8"/>
        <v>Under 2 years</v>
      </c>
    </row>
    <row r="568" spans="1:13" x14ac:dyDescent="0.25">
      <c r="A568" t="s">
        <v>581</v>
      </c>
      <c r="B568" t="s">
        <v>26</v>
      </c>
      <c r="C568">
        <v>5200</v>
      </c>
      <c r="D568">
        <v>10.25</v>
      </c>
      <c r="E568">
        <v>44.2</v>
      </c>
      <c r="F568">
        <v>0</v>
      </c>
      <c r="G568" t="s">
        <v>7</v>
      </c>
      <c r="H568">
        <v>22</v>
      </c>
      <c r="I568">
        <v>32414</v>
      </c>
      <c r="J568">
        <v>811</v>
      </c>
      <c r="K568" t="str" cm="1">
        <f t="array" ref="K568">_xlfn.IFS(J568&lt;600,"520-599",J568&lt;650,"600-649",J568&lt;700,"650-699",J568&lt;750,"700-749",TRUE,"750+")</f>
        <v>750+</v>
      </c>
      <c r="L568" t="str" cm="1">
        <f t="array" ref="L568">_xlfn.IFS(E568&lt;20,"1. Under 20",E568&lt;30,"2. 20-29",E568&lt;40,"3. 30-39",E568&lt;50,"4. 40-49",E568&lt;60,"5. 50-59",E568&lt;70,"6. 60-69",E568&lt;80,"7. 70-79",TRUE,"8. 80+")</f>
        <v>4. 40-49</v>
      </c>
      <c r="M568" t="str">
        <f t="shared" si="8"/>
        <v>2+ years</v>
      </c>
    </row>
    <row r="569" spans="1:13" x14ac:dyDescent="0.25">
      <c r="A569" t="s">
        <v>582</v>
      </c>
      <c r="B569" t="s">
        <v>19</v>
      </c>
      <c r="C569">
        <v>22000</v>
      </c>
      <c r="D569">
        <v>8.09</v>
      </c>
      <c r="E569">
        <v>60.9</v>
      </c>
      <c r="F569">
        <v>0</v>
      </c>
      <c r="G569" t="s">
        <v>7</v>
      </c>
      <c r="H569">
        <v>22</v>
      </c>
      <c r="I569">
        <v>32414</v>
      </c>
      <c r="J569">
        <v>811</v>
      </c>
      <c r="K569" t="str" cm="1">
        <f t="array" ref="K569">_xlfn.IFS(J569&lt;600,"520-599",J569&lt;650,"600-649",J569&lt;700,"650-699",J569&lt;750,"700-749",TRUE,"750+")</f>
        <v>750+</v>
      </c>
      <c r="L569" t="str" cm="1">
        <f t="array" ref="L569">_xlfn.IFS(E569&lt;20,"1. Under 20",E569&lt;30,"2. 20-29",E569&lt;40,"3. 30-39",E569&lt;50,"4. 40-49",E569&lt;60,"5. 50-59",E569&lt;70,"6. 60-69",E569&lt;80,"7. 70-79",TRUE,"8. 80+")</f>
        <v>6. 60-69</v>
      </c>
      <c r="M569" t="str">
        <f t="shared" si="8"/>
        <v>2+ years</v>
      </c>
    </row>
    <row r="570" spans="1:13" x14ac:dyDescent="0.25">
      <c r="A570" t="s">
        <v>583</v>
      </c>
      <c r="B570" t="s">
        <v>6</v>
      </c>
      <c r="C570">
        <v>13600</v>
      </c>
      <c r="D570">
        <v>13.16</v>
      </c>
      <c r="E570">
        <v>38.700000000000003</v>
      </c>
      <c r="F570">
        <v>0</v>
      </c>
      <c r="G570" t="s">
        <v>7</v>
      </c>
      <c r="H570">
        <v>6</v>
      </c>
      <c r="I570">
        <v>40896</v>
      </c>
      <c r="J570">
        <v>619</v>
      </c>
      <c r="K570" t="str" cm="1">
        <f t="array" ref="K570">_xlfn.IFS(J570&lt;600,"520-599",J570&lt;650,"600-649",J570&lt;700,"650-699",J570&lt;750,"700-749",TRUE,"750+")</f>
        <v>600-649</v>
      </c>
      <c r="L570" t="str" cm="1">
        <f t="array" ref="L570">_xlfn.IFS(E570&lt;20,"1. Under 20",E570&lt;30,"2. 20-29",E570&lt;40,"3. 30-39",E570&lt;50,"4. 40-49",E570&lt;60,"5. 50-59",E570&lt;70,"6. 60-69",E570&lt;80,"7. 70-79",TRUE,"8. 80+")</f>
        <v>3. 30-39</v>
      </c>
      <c r="M570" t="str">
        <f t="shared" si="8"/>
        <v>2+ years</v>
      </c>
    </row>
    <row r="571" spans="1:13" x14ac:dyDescent="0.25">
      <c r="A571" t="s">
        <v>584</v>
      </c>
      <c r="B571" t="s">
        <v>4</v>
      </c>
      <c r="C571">
        <v>6100</v>
      </c>
      <c r="D571">
        <v>10.25</v>
      </c>
      <c r="E571">
        <v>47.8</v>
      </c>
      <c r="F571">
        <v>0</v>
      </c>
      <c r="G571" t="s">
        <v>29</v>
      </c>
      <c r="H571">
        <v>4</v>
      </c>
      <c r="I571">
        <v>77862</v>
      </c>
      <c r="J571">
        <v>829</v>
      </c>
      <c r="K571" t="str" cm="1">
        <f t="array" ref="K571">_xlfn.IFS(J571&lt;600,"520-599",J571&lt;650,"600-649",J571&lt;700,"650-699",J571&lt;750,"700-749",TRUE,"750+")</f>
        <v>750+</v>
      </c>
      <c r="L571" t="str" cm="1">
        <f t="array" ref="L571">_xlfn.IFS(E571&lt;20,"1. Under 20",E571&lt;30,"2. 20-29",E571&lt;40,"3. 30-39",E571&lt;50,"4. 40-49",E571&lt;60,"5. 50-59",E571&lt;70,"6. 60-69",E571&lt;80,"7. 70-79",TRUE,"8. 80+")</f>
        <v>4. 40-49</v>
      </c>
      <c r="M571" t="str">
        <f t="shared" si="8"/>
        <v>2+ years</v>
      </c>
    </row>
    <row r="572" spans="1:13" x14ac:dyDescent="0.25">
      <c r="A572" t="s">
        <v>585</v>
      </c>
      <c r="B572" t="s">
        <v>15</v>
      </c>
      <c r="C572">
        <v>7100</v>
      </c>
      <c r="D572">
        <v>7.01</v>
      </c>
      <c r="E572">
        <v>40</v>
      </c>
      <c r="F572">
        <v>0</v>
      </c>
      <c r="G572" t="s">
        <v>7</v>
      </c>
      <c r="H572">
        <v>0</v>
      </c>
      <c r="I572">
        <v>114645</v>
      </c>
      <c r="J572">
        <v>845</v>
      </c>
      <c r="K572" t="str" cm="1">
        <f t="array" ref="K572">_xlfn.IFS(J572&lt;600,"520-599",J572&lt;650,"600-649",J572&lt;700,"650-699",J572&lt;750,"700-749",TRUE,"750+")</f>
        <v>750+</v>
      </c>
      <c r="L572" t="str" cm="1">
        <f t="array" ref="L572">_xlfn.IFS(E572&lt;20,"1. Under 20",E572&lt;30,"2. 20-29",E572&lt;40,"3. 30-39",E572&lt;50,"4. 40-49",E572&lt;60,"5. 50-59",E572&lt;70,"6. 60-69",E572&lt;80,"7. 70-79",TRUE,"8. 80+")</f>
        <v>4. 40-49</v>
      </c>
      <c r="M572" t="str">
        <f t="shared" si="8"/>
        <v>Under 2 years</v>
      </c>
    </row>
    <row r="573" spans="1:13" x14ac:dyDescent="0.25">
      <c r="A573" t="s">
        <v>586</v>
      </c>
      <c r="B573" t="s">
        <v>4</v>
      </c>
      <c r="C573">
        <v>10300</v>
      </c>
      <c r="D573">
        <v>11.51</v>
      </c>
      <c r="E573">
        <v>26.9</v>
      </c>
      <c r="F573">
        <v>0</v>
      </c>
      <c r="G573" t="s">
        <v>7</v>
      </c>
      <c r="H573">
        <v>16</v>
      </c>
      <c r="I573">
        <v>60743</v>
      </c>
      <c r="J573">
        <v>715</v>
      </c>
      <c r="K573" t="str" cm="1">
        <f t="array" ref="K573">_xlfn.IFS(J573&lt;600,"520-599",J573&lt;650,"600-649",J573&lt;700,"650-699",J573&lt;750,"700-749",TRUE,"750+")</f>
        <v>700-749</v>
      </c>
      <c r="L573" t="str" cm="1">
        <f t="array" ref="L573">_xlfn.IFS(E573&lt;20,"1. Under 20",E573&lt;30,"2. 20-29",E573&lt;40,"3. 30-39",E573&lt;50,"4. 40-49",E573&lt;60,"5. 50-59",E573&lt;70,"6. 60-69",E573&lt;80,"7. 70-79",TRUE,"8. 80+")</f>
        <v>2. 20-29</v>
      </c>
      <c r="M573" t="str">
        <f t="shared" si="8"/>
        <v>2+ years</v>
      </c>
    </row>
    <row r="574" spans="1:13" x14ac:dyDescent="0.25">
      <c r="A574" t="s">
        <v>587</v>
      </c>
      <c r="B574" t="s">
        <v>1</v>
      </c>
      <c r="C574">
        <v>2900</v>
      </c>
      <c r="D574">
        <v>8.6300000000000008</v>
      </c>
      <c r="E574">
        <v>34.799999999999997</v>
      </c>
      <c r="F574">
        <v>0</v>
      </c>
      <c r="G574" t="s">
        <v>2</v>
      </c>
      <c r="H574">
        <v>2</v>
      </c>
      <c r="I574">
        <v>62419</v>
      </c>
      <c r="J574">
        <v>818</v>
      </c>
      <c r="K574" t="str" cm="1">
        <f t="array" ref="K574">_xlfn.IFS(J574&lt;600,"520-599",J574&lt;650,"600-649",J574&lt;700,"650-699",J574&lt;750,"700-749",TRUE,"750+")</f>
        <v>750+</v>
      </c>
      <c r="L574" t="str" cm="1">
        <f t="array" ref="L574">_xlfn.IFS(E574&lt;20,"1. Under 20",E574&lt;30,"2. 20-29",E574&lt;40,"3. 30-39",E574&lt;50,"4. 40-49",E574&lt;60,"5. 50-59",E574&lt;70,"6. 60-69",E574&lt;80,"7. 70-79",TRUE,"8. 80+")</f>
        <v>3. 30-39</v>
      </c>
      <c r="M574" t="str">
        <f t="shared" si="8"/>
        <v>2+ years</v>
      </c>
    </row>
    <row r="575" spans="1:13" x14ac:dyDescent="0.25">
      <c r="A575" t="s">
        <v>588</v>
      </c>
      <c r="B575" t="s">
        <v>4</v>
      </c>
      <c r="C575">
        <v>26400</v>
      </c>
      <c r="D575">
        <v>8.7899999999999991</v>
      </c>
      <c r="E575">
        <v>39.1</v>
      </c>
      <c r="F575">
        <v>0</v>
      </c>
      <c r="G575" t="s">
        <v>2</v>
      </c>
      <c r="H575">
        <v>11</v>
      </c>
      <c r="I575">
        <v>132671</v>
      </c>
      <c r="J575">
        <v>805</v>
      </c>
      <c r="K575" t="str" cm="1">
        <f t="array" ref="K575">_xlfn.IFS(J575&lt;600,"520-599",J575&lt;650,"600-649",J575&lt;700,"650-699",J575&lt;750,"700-749",TRUE,"750+")</f>
        <v>750+</v>
      </c>
      <c r="L575" t="str" cm="1">
        <f t="array" ref="L575">_xlfn.IFS(E575&lt;20,"1. Under 20",E575&lt;30,"2. 20-29",E575&lt;40,"3. 30-39",E575&lt;50,"4. 40-49",E575&lt;60,"5. 50-59",E575&lt;70,"6. 60-69",E575&lt;80,"7. 70-79",TRUE,"8. 80+")</f>
        <v>3. 30-39</v>
      </c>
      <c r="M575" t="str">
        <f t="shared" si="8"/>
        <v>2+ years</v>
      </c>
    </row>
    <row r="576" spans="1:13" x14ac:dyDescent="0.25">
      <c r="A576" t="s">
        <v>589</v>
      </c>
      <c r="B576" t="s">
        <v>9</v>
      </c>
      <c r="C576">
        <v>7000</v>
      </c>
      <c r="D576">
        <v>12.5</v>
      </c>
      <c r="E576">
        <v>43</v>
      </c>
      <c r="F576">
        <v>0</v>
      </c>
      <c r="G576" t="s">
        <v>7</v>
      </c>
      <c r="H576">
        <v>3</v>
      </c>
      <c r="I576">
        <v>57979</v>
      </c>
      <c r="J576">
        <v>609</v>
      </c>
      <c r="K576" t="str" cm="1">
        <f t="array" ref="K576">_xlfn.IFS(J576&lt;600,"520-599",J576&lt;650,"600-649",J576&lt;700,"650-699",J576&lt;750,"700-749",TRUE,"750+")</f>
        <v>600-649</v>
      </c>
      <c r="L576" t="str" cm="1">
        <f t="array" ref="L576">_xlfn.IFS(E576&lt;20,"1. Under 20",E576&lt;30,"2. 20-29",E576&lt;40,"3. 30-39",E576&lt;50,"4. 40-49",E576&lt;60,"5. 50-59",E576&lt;70,"6. 60-69",E576&lt;80,"7. 70-79",TRUE,"8. 80+")</f>
        <v>4. 40-49</v>
      </c>
      <c r="M576" t="str">
        <f t="shared" si="8"/>
        <v>2+ years</v>
      </c>
    </row>
    <row r="577" spans="1:13" x14ac:dyDescent="0.25">
      <c r="A577" t="s">
        <v>590</v>
      </c>
      <c r="B577" t="s">
        <v>17</v>
      </c>
      <c r="C577">
        <v>3600</v>
      </c>
      <c r="D577">
        <v>9.94</v>
      </c>
      <c r="E577">
        <v>55.8</v>
      </c>
      <c r="F577">
        <v>1</v>
      </c>
      <c r="G577" t="s">
        <v>10</v>
      </c>
      <c r="H577">
        <v>23</v>
      </c>
      <c r="I577">
        <v>56121</v>
      </c>
      <c r="J577">
        <v>776</v>
      </c>
      <c r="K577" t="str" cm="1">
        <f t="array" ref="K577">_xlfn.IFS(J577&lt;600,"520-599",J577&lt;650,"600-649",J577&lt;700,"650-699",J577&lt;750,"700-749",TRUE,"750+")</f>
        <v>750+</v>
      </c>
      <c r="L577" t="str" cm="1">
        <f t="array" ref="L577">_xlfn.IFS(E577&lt;20,"1. Under 20",E577&lt;30,"2. 20-29",E577&lt;40,"3. 30-39",E577&lt;50,"4. 40-49",E577&lt;60,"5. 50-59",E577&lt;70,"6. 60-69",E577&lt;80,"7. 70-79",TRUE,"8. 80+")</f>
        <v>5. 50-59</v>
      </c>
      <c r="M577" t="str">
        <f t="shared" si="8"/>
        <v>2+ years</v>
      </c>
    </row>
    <row r="578" spans="1:13" x14ac:dyDescent="0.25">
      <c r="A578" t="s">
        <v>591</v>
      </c>
      <c r="B578" t="s">
        <v>26</v>
      </c>
      <c r="C578">
        <v>21400</v>
      </c>
      <c r="D578">
        <v>6.99</v>
      </c>
      <c r="E578">
        <v>12.1</v>
      </c>
      <c r="F578">
        <v>0</v>
      </c>
      <c r="G578" t="s">
        <v>7</v>
      </c>
      <c r="H578">
        <v>17</v>
      </c>
      <c r="I578">
        <v>139061</v>
      </c>
      <c r="J578">
        <v>811</v>
      </c>
      <c r="K578" t="str" cm="1">
        <f t="array" ref="K578">_xlfn.IFS(J578&lt;600,"520-599",J578&lt;650,"600-649",J578&lt;700,"650-699",J578&lt;750,"700-749",TRUE,"750+")</f>
        <v>750+</v>
      </c>
      <c r="L578" t="str" cm="1">
        <f t="array" ref="L578">_xlfn.IFS(E578&lt;20,"1. Under 20",E578&lt;30,"2. 20-29",E578&lt;40,"3. 30-39",E578&lt;50,"4. 40-49",E578&lt;60,"5. 50-59",E578&lt;70,"6. 60-69",E578&lt;80,"7. 70-79",TRUE,"8. 80+")</f>
        <v>1. Under 20</v>
      </c>
      <c r="M578" t="str">
        <f t="shared" si="8"/>
        <v>2+ years</v>
      </c>
    </row>
    <row r="579" spans="1:13" x14ac:dyDescent="0.25">
      <c r="A579" t="s">
        <v>592</v>
      </c>
      <c r="B579" t="s">
        <v>26</v>
      </c>
      <c r="C579">
        <v>2100</v>
      </c>
      <c r="D579">
        <v>10.25</v>
      </c>
      <c r="E579">
        <v>12.6</v>
      </c>
      <c r="F579">
        <v>0</v>
      </c>
      <c r="G579" t="s">
        <v>7</v>
      </c>
      <c r="H579">
        <v>27</v>
      </c>
      <c r="I579">
        <v>72657</v>
      </c>
      <c r="J579">
        <v>736</v>
      </c>
      <c r="K579" t="str" cm="1">
        <f t="array" ref="K579">_xlfn.IFS(J579&lt;600,"520-599",J579&lt;650,"600-649",J579&lt;700,"650-699",J579&lt;750,"700-749",TRUE,"750+")</f>
        <v>700-749</v>
      </c>
      <c r="L579" t="str" cm="1">
        <f t="array" ref="L579">_xlfn.IFS(E579&lt;20,"1. Under 20",E579&lt;30,"2. 20-29",E579&lt;40,"3. 30-39",E579&lt;50,"4. 40-49",E579&lt;60,"5. 50-59",E579&lt;70,"6. 60-69",E579&lt;80,"7. 70-79",TRUE,"8. 80+")</f>
        <v>1. Under 20</v>
      </c>
      <c r="M579" t="str">
        <f t="shared" ref="M579:M602" si="9">IF(H579&lt;2,"Under 2 years","2+ years")</f>
        <v>2+ years</v>
      </c>
    </row>
    <row r="580" spans="1:13" x14ac:dyDescent="0.25">
      <c r="A580" t="s">
        <v>593</v>
      </c>
      <c r="B580" t="s">
        <v>17</v>
      </c>
      <c r="C580">
        <v>8200</v>
      </c>
      <c r="D580">
        <v>10.09</v>
      </c>
      <c r="E580">
        <v>54.1</v>
      </c>
      <c r="F580">
        <v>0</v>
      </c>
      <c r="G580" t="s">
        <v>2</v>
      </c>
      <c r="H580">
        <v>24</v>
      </c>
      <c r="I580">
        <v>41354</v>
      </c>
      <c r="J580">
        <v>637</v>
      </c>
      <c r="K580" t="str" cm="1">
        <f t="array" ref="K580">_xlfn.IFS(J580&lt;600,"520-599",J580&lt;650,"600-649",J580&lt;700,"650-699",J580&lt;750,"700-749",TRUE,"750+")</f>
        <v>600-649</v>
      </c>
      <c r="L580" t="str" cm="1">
        <f t="array" ref="L580">_xlfn.IFS(E580&lt;20,"1. Under 20",E580&lt;30,"2. 20-29",E580&lt;40,"3. 30-39",E580&lt;50,"4. 40-49",E580&lt;60,"5. 50-59",E580&lt;70,"6. 60-69",E580&lt;80,"7. 70-79",TRUE,"8. 80+")</f>
        <v>5. 50-59</v>
      </c>
      <c r="M580" t="str">
        <f t="shared" si="9"/>
        <v>2+ years</v>
      </c>
    </row>
    <row r="581" spans="1:13" x14ac:dyDescent="0.25">
      <c r="A581" t="s">
        <v>594</v>
      </c>
      <c r="B581" t="s">
        <v>17</v>
      </c>
      <c r="C581">
        <v>27600</v>
      </c>
      <c r="D581">
        <v>8.84</v>
      </c>
      <c r="E581">
        <v>66.900000000000006</v>
      </c>
      <c r="F581">
        <v>0</v>
      </c>
      <c r="G581" t="s">
        <v>7</v>
      </c>
      <c r="H581">
        <v>5</v>
      </c>
      <c r="I581">
        <v>70671</v>
      </c>
      <c r="J581">
        <v>848</v>
      </c>
      <c r="K581" t="str" cm="1">
        <f t="array" ref="K581">_xlfn.IFS(J581&lt;600,"520-599",J581&lt;650,"600-649",J581&lt;700,"650-699",J581&lt;750,"700-749",TRUE,"750+")</f>
        <v>750+</v>
      </c>
      <c r="L581" t="str" cm="1">
        <f t="array" ref="L581">_xlfn.IFS(E581&lt;20,"1. Under 20",E581&lt;30,"2. 20-29",E581&lt;40,"3. 30-39",E581&lt;50,"4. 40-49",E581&lt;60,"5. 50-59",E581&lt;70,"6. 60-69",E581&lt;80,"7. 70-79",TRUE,"8. 80+")</f>
        <v>6. 60-69</v>
      </c>
      <c r="M581" t="str">
        <f t="shared" si="9"/>
        <v>2+ years</v>
      </c>
    </row>
    <row r="582" spans="1:13" x14ac:dyDescent="0.25">
      <c r="A582" t="s">
        <v>595</v>
      </c>
      <c r="B582" t="s">
        <v>17</v>
      </c>
      <c r="C582">
        <v>2400</v>
      </c>
      <c r="D582">
        <v>10.039999999999999</v>
      </c>
      <c r="E582">
        <v>27.3</v>
      </c>
      <c r="F582">
        <v>0</v>
      </c>
      <c r="G582" t="s">
        <v>7</v>
      </c>
      <c r="H582">
        <v>5</v>
      </c>
      <c r="I582">
        <v>70671</v>
      </c>
      <c r="J582">
        <v>848</v>
      </c>
      <c r="K582" t="str" cm="1">
        <f t="array" ref="K582">_xlfn.IFS(J582&lt;600,"520-599",J582&lt;650,"600-649",J582&lt;700,"650-699",J582&lt;750,"700-749",TRUE,"750+")</f>
        <v>750+</v>
      </c>
      <c r="L582" t="str" cm="1">
        <f t="array" ref="L582">_xlfn.IFS(E582&lt;20,"1. Under 20",E582&lt;30,"2. 20-29",E582&lt;40,"3. 30-39",E582&lt;50,"4. 40-49",E582&lt;60,"5. 50-59",E582&lt;70,"6. 60-69",E582&lt;80,"7. 70-79",TRUE,"8. 80+")</f>
        <v>2. 20-29</v>
      </c>
      <c r="M582" t="str">
        <f t="shared" si="9"/>
        <v>2+ years</v>
      </c>
    </row>
    <row r="583" spans="1:13" x14ac:dyDescent="0.25">
      <c r="A583" t="s">
        <v>596</v>
      </c>
      <c r="B583" t="s">
        <v>13</v>
      </c>
      <c r="C583">
        <v>37300</v>
      </c>
      <c r="D583">
        <v>7.5</v>
      </c>
      <c r="E583">
        <v>22.9</v>
      </c>
      <c r="F583">
        <v>0</v>
      </c>
      <c r="G583" t="s">
        <v>7</v>
      </c>
      <c r="H583">
        <v>4</v>
      </c>
      <c r="I583">
        <v>69356</v>
      </c>
      <c r="J583">
        <v>827</v>
      </c>
      <c r="K583" t="str" cm="1">
        <f t="array" ref="K583">_xlfn.IFS(J583&lt;600,"520-599",J583&lt;650,"600-649",J583&lt;700,"650-699",J583&lt;750,"700-749",TRUE,"750+")</f>
        <v>750+</v>
      </c>
      <c r="L583" t="str" cm="1">
        <f t="array" ref="L583">_xlfn.IFS(E583&lt;20,"1. Under 20",E583&lt;30,"2. 20-29",E583&lt;40,"3. 30-39",E583&lt;50,"4. 40-49",E583&lt;60,"5. 50-59",E583&lt;70,"6. 60-69",E583&lt;80,"7. 70-79",TRUE,"8. 80+")</f>
        <v>2. 20-29</v>
      </c>
      <c r="M583" t="str">
        <f t="shared" si="9"/>
        <v>2+ years</v>
      </c>
    </row>
    <row r="584" spans="1:13" x14ac:dyDescent="0.25">
      <c r="A584" t="s">
        <v>597</v>
      </c>
      <c r="B584" t="s">
        <v>13</v>
      </c>
      <c r="C584">
        <v>39200</v>
      </c>
      <c r="D584">
        <v>11.84</v>
      </c>
      <c r="E584">
        <v>60.1</v>
      </c>
      <c r="F584">
        <v>0</v>
      </c>
      <c r="G584" t="s">
        <v>23</v>
      </c>
      <c r="H584">
        <v>4</v>
      </c>
      <c r="I584">
        <v>70439</v>
      </c>
      <c r="J584">
        <v>635</v>
      </c>
      <c r="K584" t="str" cm="1">
        <f t="array" ref="K584">_xlfn.IFS(J584&lt;600,"520-599",J584&lt;650,"600-649",J584&lt;700,"650-699",J584&lt;750,"700-749",TRUE,"750+")</f>
        <v>600-649</v>
      </c>
      <c r="L584" t="str" cm="1">
        <f t="array" ref="L584">_xlfn.IFS(E584&lt;20,"1. Under 20",E584&lt;30,"2. 20-29",E584&lt;40,"3. 30-39",E584&lt;50,"4. 40-49",E584&lt;60,"5. 50-59",E584&lt;70,"6. 60-69",E584&lt;80,"7. 70-79",TRUE,"8. 80+")</f>
        <v>6. 60-69</v>
      </c>
      <c r="M584" t="str">
        <f t="shared" si="9"/>
        <v>2+ years</v>
      </c>
    </row>
    <row r="585" spans="1:13" x14ac:dyDescent="0.25">
      <c r="A585" t="s">
        <v>598</v>
      </c>
      <c r="B585" t="s">
        <v>19</v>
      </c>
      <c r="C585">
        <v>8800</v>
      </c>
      <c r="D585">
        <v>5.99</v>
      </c>
      <c r="E585">
        <v>22.5</v>
      </c>
      <c r="F585">
        <v>0</v>
      </c>
      <c r="G585" t="s">
        <v>7</v>
      </c>
      <c r="H585">
        <v>8</v>
      </c>
      <c r="I585">
        <v>97590</v>
      </c>
      <c r="J585">
        <v>850</v>
      </c>
      <c r="K585" t="str" cm="1">
        <f t="array" ref="K585">_xlfn.IFS(J585&lt;600,"520-599",J585&lt;650,"600-649",J585&lt;700,"650-699",J585&lt;750,"700-749",TRUE,"750+")</f>
        <v>750+</v>
      </c>
      <c r="L585" t="str" cm="1">
        <f t="array" ref="L585">_xlfn.IFS(E585&lt;20,"1. Under 20",E585&lt;30,"2. 20-29",E585&lt;40,"3. 30-39",E585&lt;50,"4. 40-49",E585&lt;60,"5. 50-59",E585&lt;70,"6. 60-69",E585&lt;80,"7. 70-79",TRUE,"8. 80+")</f>
        <v>2. 20-29</v>
      </c>
      <c r="M585" t="str">
        <f t="shared" si="9"/>
        <v>2+ years</v>
      </c>
    </row>
    <row r="586" spans="1:13" x14ac:dyDescent="0.25">
      <c r="A586" t="s">
        <v>599</v>
      </c>
      <c r="B586" t="s">
        <v>4</v>
      </c>
      <c r="C586">
        <v>48300</v>
      </c>
      <c r="D586">
        <v>10.33</v>
      </c>
      <c r="E586">
        <v>32.700000000000003</v>
      </c>
      <c r="F586">
        <v>0</v>
      </c>
      <c r="G586" t="s">
        <v>7</v>
      </c>
      <c r="H586">
        <v>8</v>
      </c>
      <c r="I586">
        <v>97590</v>
      </c>
      <c r="J586">
        <v>850</v>
      </c>
      <c r="K586" t="str" cm="1">
        <f t="array" ref="K586">_xlfn.IFS(J586&lt;600,"520-599",J586&lt;650,"600-649",J586&lt;700,"650-699",J586&lt;750,"700-749",TRUE,"750+")</f>
        <v>750+</v>
      </c>
      <c r="L586" t="str" cm="1">
        <f t="array" ref="L586">_xlfn.IFS(E586&lt;20,"1. Under 20",E586&lt;30,"2. 20-29",E586&lt;40,"3. 30-39",E586&lt;50,"4. 40-49",E586&lt;60,"5. 50-59",E586&lt;70,"6. 60-69",E586&lt;80,"7. 70-79",TRUE,"8. 80+")</f>
        <v>3. 30-39</v>
      </c>
      <c r="M586" t="str">
        <f t="shared" si="9"/>
        <v>2+ years</v>
      </c>
    </row>
    <row r="587" spans="1:13" x14ac:dyDescent="0.25">
      <c r="A587" t="s">
        <v>600</v>
      </c>
      <c r="B587" t="s">
        <v>13</v>
      </c>
      <c r="C587">
        <v>20800</v>
      </c>
      <c r="D587">
        <v>14.43</v>
      </c>
      <c r="E587">
        <v>47.4</v>
      </c>
      <c r="F587">
        <v>0</v>
      </c>
      <c r="G587" t="s">
        <v>7</v>
      </c>
      <c r="H587">
        <v>3</v>
      </c>
      <c r="I587">
        <v>63092</v>
      </c>
      <c r="J587">
        <v>618</v>
      </c>
      <c r="K587" t="str" cm="1">
        <f t="array" ref="K587">_xlfn.IFS(J587&lt;600,"520-599",J587&lt;650,"600-649",J587&lt;700,"650-699",J587&lt;750,"700-749",TRUE,"750+")</f>
        <v>600-649</v>
      </c>
      <c r="L587" t="str" cm="1">
        <f t="array" ref="L587">_xlfn.IFS(E587&lt;20,"1. Under 20",E587&lt;30,"2. 20-29",E587&lt;40,"3. 30-39",E587&lt;50,"4. 40-49",E587&lt;60,"5. 50-59",E587&lt;70,"6. 60-69",E587&lt;80,"7. 70-79",TRUE,"8. 80+")</f>
        <v>4. 40-49</v>
      </c>
      <c r="M587" t="str">
        <f t="shared" si="9"/>
        <v>2+ years</v>
      </c>
    </row>
    <row r="588" spans="1:13" x14ac:dyDescent="0.25">
      <c r="A588" t="s">
        <v>601</v>
      </c>
      <c r="B588" t="s">
        <v>13</v>
      </c>
      <c r="C588">
        <v>7900</v>
      </c>
      <c r="D588">
        <v>12.53</v>
      </c>
      <c r="E588">
        <v>40.5</v>
      </c>
      <c r="F588">
        <v>0</v>
      </c>
      <c r="G588" t="s">
        <v>7</v>
      </c>
      <c r="H588">
        <v>3</v>
      </c>
      <c r="I588">
        <v>63092</v>
      </c>
      <c r="J588">
        <v>618</v>
      </c>
      <c r="K588" t="str" cm="1">
        <f t="array" ref="K588">_xlfn.IFS(J588&lt;600,"520-599",J588&lt;650,"600-649",J588&lt;700,"650-699",J588&lt;750,"700-749",TRUE,"750+")</f>
        <v>600-649</v>
      </c>
      <c r="L588" t="str" cm="1">
        <f t="array" ref="L588">_xlfn.IFS(E588&lt;20,"1. Under 20",E588&lt;30,"2. 20-29",E588&lt;40,"3. 30-39",E588&lt;50,"4. 40-49",E588&lt;60,"5. 50-59",E588&lt;70,"6. 60-69",E588&lt;80,"7. 70-79",TRUE,"8. 80+")</f>
        <v>4. 40-49</v>
      </c>
      <c r="M588" t="str">
        <f t="shared" si="9"/>
        <v>2+ years</v>
      </c>
    </row>
    <row r="589" spans="1:13" x14ac:dyDescent="0.25">
      <c r="A589" t="s">
        <v>602</v>
      </c>
      <c r="B589" t="s">
        <v>1</v>
      </c>
      <c r="C589">
        <v>27100</v>
      </c>
      <c r="D589">
        <v>9.3699999999999992</v>
      </c>
      <c r="E589">
        <v>23.2</v>
      </c>
      <c r="F589">
        <v>0</v>
      </c>
      <c r="G589" t="s">
        <v>7</v>
      </c>
      <c r="H589">
        <v>29</v>
      </c>
      <c r="I589">
        <v>85514</v>
      </c>
      <c r="J589">
        <v>825</v>
      </c>
      <c r="K589" t="str" cm="1">
        <f t="array" ref="K589">_xlfn.IFS(J589&lt;600,"520-599",J589&lt;650,"600-649",J589&lt;700,"650-699",J589&lt;750,"700-749",TRUE,"750+")</f>
        <v>750+</v>
      </c>
      <c r="L589" t="str" cm="1">
        <f t="array" ref="L589">_xlfn.IFS(E589&lt;20,"1. Under 20",E589&lt;30,"2. 20-29",E589&lt;40,"3. 30-39",E589&lt;50,"4. 40-49",E589&lt;60,"5. 50-59",E589&lt;70,"6. 60-69",E589&lt;80,"7. 70-79",TRUE,"8. 80+")</f>
        <v>2. 20-29</v>
      </c>
      <c r="M589" t="str">
        <f t="shared" si="9"/>
        <v>2+ years</v>
      </c>
    </row>
    <row r="590" spans="1:13" x14ac:dyDescent="0.25">
      <c r="A590" t="s">
        <v>603</v>
      </c>
      <c r="B590" t="s">
        <v>21</v>
      </c>
      <c r="C590">
        <v>41600</v>
      </c>
      <c r="D590">
        <v>6.52</v>
      </c>
      <c r="E590">
        <v>72.7</v>
      </c>
      <c r="F590">
        <v>1</v>
      </c>
      <c r="G590" t="s">
        <v>7</v>
      </c>
      <c r="H590">
        <v>11</v>
      </c>
      <c r="I590">
        <v>126680</v>
      </c>
      <c r="J590">
        <v>825</v>
      </c>
      <c r="K590" t="str" cm="1">
        <f t="array" ref="K590">_xlfn.IFS(J590&lt;600,"520-599",J590&lt;650,"600-649",J590&lt;700,"650-699",J590&lt;750,"700-749",TRUE,"750+")</f>
        <v>750+</v>
      </c>
      <c r="L590" t="str" cm="1">
        <f t="array" ref="L590">_xlfn.IFS(E590&lt;20,"1. Under 20",E590&lt;30,"2. 20-29",E590&lt;40,"3. 30-39",E590&lt;50,"4. 40-49",E590&lt;60,"5. 50-59",E590&lt;70,"6. 60-69",E590&lt;80,"7. 70-79",TRUE,"8. 80+")</f>
        <v>7. 70-79</v>
      </c>
      <c r="M590" t="str">
        <f t="shared" si="9"/>
        <v>2+ years</v>
      </c>
    </row>
    <row r="591" spans="1:13" x14ac:dyDescent="0.25">
      <c r="A591" t="s">
        <v>604</v>
      </c>
      <c r="B591" t="s">
        <v>21</v>
      </c>
      <c r="C591">
        <v>4800</v>
      </c>
      <c r="D591">
        <v>9.7799999999999994</v>
      </c>
      <c r="E591">
        <v>40</v>
      </c>
      <c r="F591">
        <v>0</v>
      </c>
      <c r="G591" t="s">
        <v>7</v>
      </c>
      <c r="H591">
        <v>18</v>
      </c>
      <c r="I591">
        <v>61327</v>
      </c>
      <c r="J591">
        <v>849</v>
      </c>
      <c r="K591" t="str" cm="1">
        <f t="array" ref="K591">_xlfn.IFS(J591&lt;600,"520-599",J591&lt;650,"600-649",J591&lt;700,"650-699",J591&lt;750,"700-749",TRUE,"750+")</f>
        <v>750+</v>
      </c>
      <c r="L591" t="str" cm="1">
        <f t="array" ref="L591">_xlfn.IFS(E591&lt;20,"1. Under 20",E591&lt;30,"2. 20-29",E591&lt;40,"3. 30-39",E591&lt;50,"4. 40-49",E591&lt;60,"5. 50-59",E591&lt;70,"6. 60-69",E591&lt;80,"7. 70-79",TRUE,"8. 80+")</f>
        <v>4. 40-49</v>
      </c>
      <c r="M591" t="str">
        <f t="shared" si="9"/>
        <v>2+ years</v>
      </c>
    </row>
    <row r="592" spans="1:13" x14ac:dyDescent="0.25">
      <c r="A592" t="s">
        <v>605</v>
      </c>
      <c r="B592" t="s">
        <v>9</v>
      </c>
      <c r="C592">
        <v>13200</v>
      </c>
      <c r="D592">
        <v>13.58</v>
      </c>
      <c r="E592">
        <v>49.4</v>
      </c>
      <c r="F592">
        <v>1</v>
      </c>
      <c r="G592" t="s">
        <v>23</v>
      </c>
      <c r="H592">
        <v>2</v>
      </c>
      <c r="I592">
        <v>36533</v>
      </c>
      <c r="J592">
        <v>561</v>
      </c>
      <c r="K592" t="str" cm="1">
        <f t="array" ref="K592">_xlfn.IFS(J592&lt;600,"520-599",J592&lt;650,"600-649",J592&lt;700,"650-699",J592&lt;750,"700-749",TRUE,"750+")</f>
        <v>520-599</v>
      </c>
      <c r="L592" t="str" cm="1">
        <f t="array" ref="L592">_xlfn.IFS(E592&lt;20,"1. Under 20",E592&lt;30,"2. 20-29",E592&lt;40,"3. 30-39",E592&lt;50,"4. 40-49",E592&lt;60,"5. 50-59",E592&lt;70,"6. 60-69",E592&lt;80,"7. 70-79",TRUE,"8. 80+")</f>
        <v>4. 40-49</v>
      </c>
      <c r="M592" t="str">
        <f t="shared" si="9"/>
        <v>2+ years</v>
      </c>
    </row>
    <row r="593" spans="1:13" x14ac:dyDescent="0.25">
      <c r="A593" t="s">
        <v>606</v>
      </c>
      <c r="B593" t="s">
        <v>13</v>
      </c>
      <c r="C593">
        <v>10000</v>
      </c>
      <c r="D593">
        <v>9.58</v>
      </c>
      <c r="E593">
        <v>38.700000000000003</v>
      </c>
      <c r="F593">
        <v>0</v>
      </c>
      <c r="G593" t="s">
        <v>23</v>
      </c>
      <c r="H593">
        <v>23</v>
      </c>
      <c r="I593">
        <v>23062</v>
      </c>
      <c r="J593">
        <v>752</v>
      </c>
      <c r="K593" t="str" cm="1">
        <f t="array" ref="K593">_xlfn.IFS(J593&lt;600,"520-599",J593&lt;650,"600-649",J593&lt;700,"650-699",J593&lt;750,"700-749",TRUE,"750+")</f>
        <v>750+</v>
      </c>
      <c r="L593" t="str" cm="1">
        <f t="array" ref="L593">_xlfn.IFS(E593&lt;20,"1. Under 20",E593&lt;30,"2. 20-29",E593&lt;40,"3. 30-39",E593&lt;50,"4. 40-49",E593&lt;60,"5. 50-59",E593&lt;70,"6. 60-69",E593&lt;80,"7. 70-79",TRUE,"8. 80+")</f>
        <v>3. 30-39</v>
      </c>
      <c r="M593" t="str">
        <f t="shared" si="9"/>
        <v>2+ years</v>
      </c>
    </row>
    <row r="594" spans="1:13" x14ac:dyDescent="0.25">
      <c r="A594" t="s">
        <v>607</v>
      </c>
      <c r="B594" t="s">
        <v>4</v>
      </c>
      <c r="C594">
        <v>17500</v>
      </c>
      <c r="D594">
        <v>9.65</v>
      </c>
      <c r="E594">
        <v>30.8</v>
      </c>
      <c r="F594">
        <v>0</v>
      </c>
      <c r="G594" t="s">
        <v>7</v>
      </c>
      <c r="H594">
        <v>11</v>
      </c>
      <c r="I594">
        <v>74731</v>
      </c>
      <c r="J594">
        <v>663</v>
      </c>
      <c r="K594" t="str" cm="1">
        <f t="array" ref="K594">_xlfn.IFS(J594&lt;600,"520-599",J594&lt;650,"600-649",J594&lt;700,"650-699",J594&lt;750,"700-749",TRUE,"750+")</f>
        <v>650-699</v>
      </c>
      <c r="L594" t="str" cm="1">
        <f t="array" ref="L594">_xlfn.IFS(E594&lt;20,"1. Under 20",E594&lt;30,"2. 20-29",E594&lt;40,"3. 30-39",E594&lt;50,"4. 40-49",E594&lt;60,"5. 50-59",E594&lt;70,"6. 60-69",E594&lt;80,"7. 70-79",TRUE,"8. 80+")</f>
        <v>3. 30-39</v>
      </c>
      <c r="M594" t="str">
        <f t="shared" si="9"/>
        <v>2+ years</v>
      </c>
    </row>
    <row r="595" spans="1:13" x14ac:dyDescent="0.25">
      <c r="A595" t="s">
        <v>608</v>
      </c>
      <c r="B595" t="s">
        <v>9</v>
      </c>
      <c r="C595">
        <v>26400</v>
      </c>
      <c r="D595">
        <v>11.87</v>
      </c>
      <c r="E595">
        <v>52.7</v>
      </c>
      <c r="F595">
        <v>1</v>
      </c>
      <c r="G595" t="s">
        <v>10</v>
      </c>
      <c r="H595">
        <v>6</v>
      </c>
      <c r="I595">
        <v>41704</v>
      </c>
      <c r="J595">
        <v>543</v>
      </c>
      <c r="K595" t="str" cm="1">
        <f t="array" ref="K595">_xlfn.IFS(J595&lt;600,"520-599",J595&lt;650,"600-649",J595&lt;700,"650-699",J595&lt;750,"700-749",TRUE,"750+")</f>
        <v>520-599</v>
      </c>
      <c r="L595" t="str" cm="1">
        <f t="array" ref="L595">_xlfn.IFS(E595&lt;20,"1. Under 20",E595&lt;30,"2. 20-29",E595&lt;40,"3. 30-39",E595&lt;50,"4. 40-49",E595&lt;60,"5. 50-59",E595&lt;70,"6. 60-69",E595&lt;80,"7. 70-79",TRUE,"8. 80+")</f>
        <v>5. 50-59</v>
      </c>
      <c r="M595" t="str">
        <f t="shared" si="9"/>
        <v>2+ years</v>
      </c>
    </row>
    <row r="596" spans="1:13" x14ac:dyDescent="0.25">
      <c r="A596" t="s">
        <v>609</v>
      </c>
      <c r="B596" t="s">
        <v>13</v>
      </c>
      <c r="C596">
        <v>34900</v>
      </c>
      <c r="D596">
        <v>11.33</v>
      </c>
      <c r="E596">
        <v>69.7</v>
      </c>
      <c r="F596">
        <v>0</v>
      </c>
      <c r="G596" t="s">
        <v>10</v>
      </c>
      <c r="H596">
        <v>4</v>
      </c>
      <c r="I596">
        <v>60337</v>
      </c>
      <c r="J596">
        <v>661</v>
      </c>
      <c r="K596" t="str" cm="1">
        <f t="array" ref="K596">_xlfn.IFS(J596&lt;600,"520-599",J596&lt;650,"600-649",J596&lt;700,"650-699",J596&lt;750,"700-749",TRUE,"750+")</f>
        <v>650-699</v>
      </c>
      <c r="L596" t="str" cm="1">
        <f t="array" ref="L596">_xlfn.IFS(E596&lt;20,"1. Under 20",E596&lt;30,"2. 20-29",E596&lt;40,"3. 30-39",E596&lt;50,"4. 40-49",E596&lt;60,"5. 50-59",E596&lt;70,"6. 60-69",E596&lt;80,"7. 70-79",TRUE,"8. 80+")</f>
        <v>6. 60-69</v>
      </c>
      <c r="M596" t="str">
        <f t="shared" si="9"/>
        <v>2+ years</v>
      </c>
    </row>
    <row r="597" spans="1:13" x14ac:dyDescent="0.25">
      <c r="A597" t="s">
        <v>610</v>
      </c>
      <c r="B597" t="s">
        <v>21</v>
      </c>
      <c r="C597">
        <v>22200</v>
      </c>
      <c r="D597">
        <v>10.19</v>
      </c>
      <c r="E597">
        <v>55</v>
      </c>
      <c r="F597">
        <v>0</v>
      </c>
      <c r="G597" t="s">
        <v>7</v>
      </c>
      <c r="H597">
        <v>3</v>
      </c>
      <c r="I597">
        <v>54617</v>
      </c>
      <c r="J597">
        <v>773</v>
      </c>
      <c r="K597" t="str" cm="1">
        <f t="array" ref="K597">_xlfn.IFS(J597&lt;600,"520-599",J597&lt;650,"600-649",J597&lt;700,"650-699",J597&lt;750,"700-749",TRUE,"750+")</f>
        <v>750+</v>
      </c>
      <c r="L597" t="str" cm="1">
        <f t="array" ref="L597">_xlfn.IFS(E597&lt;20,"1. Under 20",E597&lt;30,"2. 20-29",E597&lt;40,"3. 30-39",E597&lt;50,"4. 40-49",E597&lt;60,"5. 50-59",E597&lt;70,"6. 60-69",E597&lt;80,"7. 70-79",TRUE,"8. 80+")</f>
        <v>5. 50-59</v>
      </c>
      <c r="M597" t="str">
        <f t="shared" si="9"/>
        <v>2+ years</v>
      </c>
    </row>
    <row r="598" spans="1:13" x14ac:dyDescent="0.25">
      <c r="A598" t="s">
        <v>611</v>
      </c>
      <c r="B598" t="s">
        <v>26</v>
      </c>
      <c r="C598">
        <v>29100</v>
      </c>
      <c r="D598">
        <v>7.38</v>
      </c>
      <c r="E598">
        <v>52.3</v>
      </c>
      <c r="F598">
        <v>1</v>
      </c>
      <c r="G598" t="s">
        <v>7</v>
      </c>
      <c r="H598">
        <v>3</v>
      </c>
      <c r="I598">
        <v>54617</v>
      </c>
      <c r="J598">
        <v>773</v>
      </c>
      <c r="K598" t="str" cm="1">
        <f t="array" ref="K598">_xlfn.IFS(J598&lt;600,"520-599",J598&lt;650,"600-649",J598&lt;700,"650-699",J598&lt;750,"700-749",TRUE,"750+")</f>
        <v>750+</v>
      </c>
      <c r="L598" t="str" cm="1">
        <f t="array" ref="L598">_xlfn.IFS(E598&lt;20,"1. Under 20",E598&lt;30,"2. 20-29",E598&lt;40,"3. 30-39",E598&lt;50,"4. 40-49",E598&lt;60,"5. 50-59",E598&lt;70,"6. 60-69",E598&lt;80,"7. 70-79",TRUE,"8. 80+")</f>
        <v>5. 50-59</v>
      </c>
      <c r="M598" t="str">
        <f t="shared" si="9"/>
        <v>2+ years</v>
      </c>
    </row>
    <row r="599" spans="1:13" x14ac:dyDescent="0.25">
      <c r="A599" t="s">
        <v>612</v>
      </c>
      <c r="B599" t="s">
        <v>6</v>
      </c>
      <c r="C599">
        <v>4600</v>
      </c>
      <c r="D599">
        <v>7.27</v>
      </c>
      <c r="E599">
        <v>32.4</v>
      </c>
      <c r="F599">
        <v>0</v>
      </c>
      <c r="G599" t="s">
        <v>2</v>
      </c>
      <c r="H599">
        <v>7</v>
      </c>
      <c r="I599">
        <v>85000</v>
      </c>
      <c r="J599">
        <v>845</v>
      </c>
      <c r="K599" t="str" cm="1">
        <f t="array" ref="K599">_xlfn.IFS(J599&lt;600,"520-599",J599&lt;650,"600-649",J599&lt;700,"650-699",J599&lt;750,"700-749",TRUE,"750+")</f>
        <v>750+</v>
      </c>
      <c r="L599" t="str" cm="1">
        <f t="array" ref="L599">_xlfn.IFS(E599&lt;20,"1. Under 20",E599&lt;30,"2. 20-29",E599&lt;40,"3. 30-39",E599&lt;50,"4. 40-49",E599&lt;60,"5. 50-59",E599&lt;70,"6. 60-69",E599&lt;80,"7. 70-79",TRUE,"8. 80+")</f>
        <v>3. 30-39</v>
      </c>
      <c r="M599" t="str">
        <f t="shared" si="9"/>
        <v>2+ years</v>
      </c>
    </row>
    <row r="600" spans="1:13" x14ac:dyDescent="0.25">
      <c r="A600" t="s">
        <v>613</v>
      </c>
      <c r="B600" t="s">
        <v>13</v>
      </c>
      <c r="C600">
        <v>7800</v>
      </c>
      <c r="D600">
        <v>9.86</v>
      </c>
      <c r="E600">
        <v>28.8</v>
      </c>
      <c r="F600">
        <v>0</v>
      </c>
      <c r="G600" t="s">
        <v>7</v>
      </c>
      <c r="H600">
        <v>14</v>
      </c>
      <c r="I600">
        <v>62749</v>
      </c>
      <c r="J600">
        <v>811</v>
      </c>
      <c r="K600" t="str" cm="1">
        <f t="array" ref="K600">_xlfn.IFS(J600&lt;600,"520-599",J600&lt;650,"600-649",J600&lt;700,"650-699",J600&lt;750,"700-749",TRUE,"750+")</f>
        <v>750+</v>
      </c>
      <c r="L600" t="str" cm="1">
        <f t="array" ref="L600">_xlfn.IFS(E600&lt;20,"1. Under 20",E600&lt;30,"2. 20-29",E600&lt;40,"3. 30-39",E600&lt;50,"4. 40-49",E600&lt;60,"5. 50-59",E600&lt;70,"6. 60-69",E600&lt;80,"7. 70-79",TRUE,"8. 80+")</f>
        <v>2. 20-29</v>
      </c>
      <c r="M600" t="str">
        <f t="shared" si="9"/>
        <v>2+ years</v>
      </c>
    </row>
    <row r="601" spans="1:13" x14ac:dyDescent="0.25">
      <c r="A601" t="s">
        <v>614</v>
      </c>
      <c r="B601" t="s">
        <v>15</v>
      </c>
      <c r="C601">
        <v>26400</v>
      </c>
      <c r="D601">
        <v>11.44</v>
      </c>
      <c r="E601">
        <v>73.2</v>
      </c>
      <c r="F601">
        <v>0</v>
      </c>
      <c r="G601" t="s">
        <v>7</v>
      </c>
      <c r="H601">
        <v>5</v>
      </c>
      <c r="I601">
        <v>67070</v>
      </c>
      <c r="J601">
        <v>604</v>
      </c>
      <c r="K601" t="str" cm="1">
        <f t="array" ref="K601">_xlfn.IFS(J601&lt;600,"520-599",J601&lt;650,"600-649",J601&lt;700,"650-699",J601&lt;750,"700-749",TRUE,"750+")</f>
        <v>600-649</v>
      </c>
      <c r="L601" t="str" cm="1">
        <f t="array" ref="L601">_xlfn.IFS(E601&lt;20,"1. Under 20",E601&lt;30,"2. 20-29",E601&lt;40,"3. 30-39",E601&lt;50,"4. 40-49",E601&lt;60,"5. 50-59",E601&lt;70,"6. 60-69",E601&lt;80,"7. 70-79",TRUE,"8. 80+")</f>
        <v>7. 70-79</v>
      </c>
      <c r="M601" t="str">
        <f t="shared" si="9"/>
        <v>2+ years</v>
      </c>
    </row>
    <row r="602" spans="1:13" x14ac:dyDescent="0.25">
      <c r="A602" t="s">
        <v>615</v>
      </c>
      <c r="B602" t="s">
        <v>26</v>
      </c>
      <c r="C602">
        <v>7500</v>
      </c>
      <c r="D602">
        <v>10.7</v>
      </c>
      <c r="E602">
        <v>62.9</v>
      </c>
      <c r="F602">
        <v>0</v>
      </c>
      <c r="G602" t="s">
        <v>7</v>
      </c>
      <c r="H602">
        <v>5</v>
      </c>
      <c r="I602">
        <v>67070</v>
      </c>
      <c r="J602">
        <v>604</v>
      </c>
      <c r="K602" t="str" cm="1">
        <f t="array" ref="K602">_xlfn.IFS(J602&lt;600,"520-599",J602&lt;650,"600-649",J602&lt;700,"650-699",J602&lt;750,"700-749",TRUE,"750+")</f>
        <v>600-649</v>
      </c>
      <c r="L602" t="str" cm="1">
        <f t="array" ref="L602">_xlfn.IFS(E602&lt;20,"1. Under 20",E602&lt;30,"2. 20-29",E602&lt;40,"3. 30-39",E602&lt;50,"4. 40-49",E602&lt;60,"5. 50-59",E602&lt;70,"6. 60-69",E602&lt;80,"7. 70-79",TRUE,"8. 80+")</f>
        <v>6. 60-69</v>
      </c>
      <c r="M602" t="str">
        <f t="shared" si="9"/>
        <v>2+ years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71AB-EB5C-484A-853B-E3ED5D1A0552}">
  <dimension ref="A1:B12"/>
  <sheetViews>
    <sheetView workbookViewId="0">
      <selection activeCell="G15" sqref="G15"/>
    </sheetView>
  </sheetViews>
  <sheetFormatPr defaultRowHeight="15" x14ac:dyDescent="0.25"/>
  <cols>
    <col min="1" max="1" width="24.7109375" customWidth="1"/>
    <col min="2" max="2" width="25" customWidth="1"/>
  </cols>
  <sheetData>
    <row r="1" spans="1:2" x14ac:dyDescent="0.25">
      <c r="A1" t="s">
        <v>672</v>
      </c>
      <c r="B1" t="s">
        <v>673</v>
      </c>
    </row>
    <row r="2" spans="1:2" x14ac:dyDescent="0.25">
      <c r="A2" t="s">
        <v>628</v>
      </c>
      <c r="B2">
        <f>COUNTA(data!A2:A602)</f>
        <v>601</v>
      </c>
    </row>
    <row r="3" spans="1:2" x14ac:dyDescent="0.25">
      <c r="A3" t="s">
        <v>629</v>
      </c>
      <c r="B3">
        <f>SUM(data!F2:F602)</f>
        <v>146</v>
      </c>
    </row>
    <row r="4" spans="1:2" x14ac:dyDescent="0.25">
      <c r="A4" t="s">
        <v>630</v>
      </c>
      <c r="B4" s="1">
        <f>B3/B2</f>
        <v>0.24292845257903495</v>
      </c>
    </row>
    <row r="7" spans="1:2" ht="15.75" x14ac:dyDescent="0.25">
      <c r="A7" s="18" t="s">
        <v>660</v>
      </c>
      <c r="B7" s="18" t="s">
        <v>661</v>
      </c>
    </row>
    <row r="8" spans="1:2" x14ac:dyDescent="0.25">
      <c r="A8" t="s">
        <v>662</v>
      </c>
      <c r="B8" s="6">
        <f>CORREL(data!J2:J602,data!F2:F602)</f>
        <v>-0.28639376908202713</v>
      </c>
    </row>
    <row r="9" spans="1:2" x14ac:dyDescent="0.25">
      <c r="A9" t="s">
        <v>663</v>
      </c>
      <c r="B9" s="6">
        <f>CORREL(data!D2:D602,data!F2:F602)</f>
        <v>0.19893008328871267</v>
      </c>
    </row>
    <row r="10" spans="1:2" x14ac:dyDescent="0.25">
      <c r="A10" t="s">
        <v>664</v>
      </c>
      <c r="B10" s="6">
        <f>CORREL(data!E2:E602,data!F2:F602)</f>
        <v>0.19245414949940781</v>
      </c>
    </row>
    <row r="11" spans="1:2" x14ac:dyDescent="0.25">
      <c r="A11" t="s">
        <v>665</v>
      </c>
      <c r="B11" s="6">
        <f>CORREL(data!I2:I602,data!F2:F602)</f>
        <v>-8.1545875103110177E-2</v>
      </c>
    </row>
    <row r="12" spans="1:2" x14ac:dyDescent="0.25">
      <c r="A12" t="s">
        <v>666</v>
      </c>
      <c r="B12" s="6">
        <f>CORREL(data!C2:C602,data!F2:F602)</f>
        <v>1.8116427294644129E-2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01C5-F88E-4C15-8BE0-D6BA9F92101B}">
  <dimension ref="B4:E70"/>
  <sheetViews>
    <sheetView topLeftCell="A56" workbookViewId="0">
      <selection activeCell="C67" sqref="C67"/>
    </sheetView>
  </sheetViews>
  <sheetFormatPr defaultRowHeight="15" x14ac:dyDescent="0.25"/>
  <cols>
    <col min="2" max="2" width="15.140625" bestFit="1" customWidth="1"/>
    <col min="3" max="3" width="10.7109375" bestFit="1" customWidth="1"/>
    <col min="4" max="4" width="9.85546875" bestFit="1" customWidth="1"/>
    <col min="5" max="5" width="11.7109375" bestFit="1" customWidth="1"/>
  </cols>
  <sheetData>
    <row r="4" spans="2:5" x14ac:dyDescent="0.25">
      <c r="B4" s="2" t="s">
        <v>641</v>
      </c>
      <c r="C4" t="s">
        <v>638</v>
      </c>
      <c r="D4" t="s">
        <v>639</v>
      </c>
      <c r="E4" t="s">
        <v>640</v>
      </c>
    </row>
    <row r="5" spans="2:5" x14ac:dyDescent="0.25">
      <c r="B5" s="3" t="s">
        <v>632</v>
      </c>
      <c r="C5" s="4">
        <v>116</v>
      </c>
      <c r="D5" s="4">
        <v>57</v>
      </c>
      <c r="E5" s="5">
        <v>0.49137931034482757</v>
      </c>
    </row>
    <row r="6" spans="2:5" x14ac:dyDescent="0.25">
      <c r="B6" s="3" t="s">
        <v>633</v>
      </c>
      <c r="C6" s="4">
        <v>93</v>
      </c>
      <c r="D6" s="4">
        <v>27</v>
      </c>
      <c r="E6" s="5">
        <v>0.29032258064516131</v>
      </c>
    </row>
    <row r="7" spans="2:5" x14ac:dyDescent="0.25">
      <c r="B7" s="3" t="s">
        <v>634</v>
      </c>
      <c r="C7" s="4">
        <v>75</v>
      </c>
      <c r="D7" s="4">
        <v>21</v>
      </c>
      <c r="E7" s="5">
        <v>0.28000000000000003</v>
      </c>
    </row>
    <row r="8" spans="2:5" x14ac:dyDescent="0.25">
      <c r="B8" s="3" t="s">
        <v>635</v>
      </c>
      <c r="C8" s="4">
        <v>86</v>
      </c>
      <c r="D8" s="4">
        <v>14</v>
      </c>
      <c r="E8" s="5">
        <v>0.16279069767441862</v>
      </c>
    </row>
    <row r="9" spans="2:5" x14ac:dyDescent="0.25">
      <c r="B9" s="3" t="s">
        <v>636</v>
      </c>
      <c r="C9" s="4">
        <v>231</v>
      </c>
      <c r="D9" s="4">
        <v>27</v>
      </c>
      <c r="E9" s="5">
        <v>0.11688311688311688</v>
      </c>
    </row>
    <row r="10" spans="2:5" x14ac:dyDescent="0.25">
      <c r="B10" s="3" t="s">
        <v>637</v>
      </c>
      <c r="C10" s="4">
        <v>601</v>
      </c>
      <c r="D10" s="4">
        <v>146</v>
      </c>
      <c r="E10" s="5">
        <v>0.24292845257903495</v>
      </c>
    </row>
    <row r="16" spans="2:5" x14ac:dyDescent="0.25">
      <c r="B16" s="2" t="s">
        <v>644</v>
      </c>
      <c r="C16" t="s">
        <v>643</v>
      </c>
      <c r="D16" t="s">
        <v>629</v>
      </c>
      <c r="E16" t="s">
        <v>642</v>
      </c>
    </row>
    <row r="17" spans="2:5" x14ac:dyDescent="0.25">
      <c r="B17" s="3" t="s">
        <v>10</v>
      </c>
      <c r="C17" s="4">
        <v>66</v>
      </c>
      <c r="D17" s="4">
        <v>15</v>
      </c>
      <c r="E17" s="5">
        <v>0.22727272727272727</v>
      </c>
    </row>
    <row r="18" spans="2:5" x14ac:dyDescent="0.25">
      <c r="B18" s="3" t="s">
        <v>7</v>
      </c>
      <c r="C18" s="4">
        <v>305</v>
      </c>
      <c r="D18" s="4">
        <v>73</v>
      </c>
      <c r="E18" s="5">
        <v>0.23934426229508196</v>
      </c>
    </row>
    <row r="19" spans="2:5" x14ac:dyDescent="0.25">
      <c r="B19" s="3" t="s">
        <v>23</v>
      </c>
      <c r="C19" s="4">
        <v>65</v>
      </c>
      <c r="D19" s="4">
        <v>18</v>
      </c>
      <c r="E19" s="5">
        <v>0.27692307692307694</v>
      </c>
    </row>
    <row r="20" spans="2:5" x14ac:dyDescent="0.25">
      <c r="B20" s="3" t="s">
        <v>29</v>
      </c>
      <c r="C20" s="4">
        <v>60</v>
      </c>
      <c r="D20" s="4">
        <v>14</v>
      </c>
      <c r="E20" s="5">
        <v>0.23333333333333334</v>
      </c>
    </row>
    <row r="21" spans="2:5" x14ac:dyDescent="0.25">
      <c r="B21" s="3" t="s">
        <v>2</v>
      </c>
      <c r="C21" s="4">
        <v>105</v>
      </c>
      <c r="D21" s="4">
        <v>26</v>
      </c>
      <c r="E21" s="5">
        <v>0.24761904761904763</v>
      </c>
    </row>
    <row r="22" spans="2:5" x14ac:dyDescent="0.25">
      <c r="B22" s="3" t="s">
        <v>637</v>
      </c>
      <c r="C22" s="4">
        <v>601</v>
      </c>
      <c r="D22" s="4">
        <v>146</v>
      </c>
      <c r="E22" s="5">
        <v>0.24292845257903495</v>
      </c>
    </row>
    <row r="26" spans="2:5" x14ac:dyDescent="0.25">
      <c r="B26" s="2" t="s">
        <v>645</v>
      </c>
      <c r="C26" t="s">
        <v>638</v>
      </c>
      <c r="D26" t="s">
        <v>657</v>
      </c>
      <c r="E26" t="s">
        <v>642</v>
      </c>
    </row>
    <row r="27" spans="2:5" x14ac:dyDescent="0.25">
      <c r="B27" s="3" t="s">
        <v>9</v>
      </c>
      <c r="C27" s="4">
        <v>59</v>
      </c>
      <c r="D27" s="4">
        <v>16</v>
      </c>
      <c r="E27" s="5">
        <v>0.2711864406779661</v>
      </c>
    </row>
    <row r="28" spans="2:5" x14ac:dyDescent="0.25">
      <c r="B28" s="3" t="s">
        <v>19</v>
      </c>
      <c r="C28" s="4">
        <v>58</v>
      </c>
      <c r="D28" s="4">
        <v>14</v>
      </c>
      <c r="E28" s="5">
        <v>0.2413793103448276</v>
      </c>
    </row>
    <row r="29" spans="2:5" x14ac:dyDescent="0.25">
      <c r="B29" s="3" t="s">
        <v>21</v>
      </c>
      <c r="C29" s="4">
        <v>51</v>
      </c>
      <c r="D29" s="4">
        <v>11</v>
      </c>
      <c r="E29" s="5">
        <v>0.21568627450980393</v>
      </c>
    </row>
    <row r="30" spans="2:5" x14ac:dyDescent="0.25">
      <c r="B30" s="3" t="s">
        <v>13</v>
      </c>
      <c r="C30" s="4">
        <v>53</v>
      </c>
      <c r="D30" s="4">
        <v>12</v>
      </c>
      <c r="E30" s="5">
        <v>0.22641509433962265</v>
      </c>
    </row>
    <row r="31" spans="2:5" x14ac:dyDescent="0.25">
      <c r="B31" s="3" t="s">
        <v>17</v>
      </c>
      <c r="C31" s="4">
        <v>70</v>
      </c>
      <c r="D31" s="4">
        <v>20</v>
      </c>
      <c r="E31" s="5">
        <v>0.2857142857142857</v>
      </c>
    </row>
    <row r="32" spans="2:5" x14ac:dyDescent="0.25">
      <c r="B32" s="3" t="s">
        <v>4</v>
      </c>
      <c r="C32" s="4">
        <v>68</v>
      </c>
      <c r="D32" s="4">
        <v>15</v>
      </c>
      <c r="E32" s="5">
        <v>0.22058823529411764</v>
      </c>
    </row>
    <row r="33" spans="2:5" x14ac:dyDescent="0.25">
      <c r="B33" s="3" t="s">
        <v>15</v>
      </c>
      <c r="C33" s="4">
        <v>68</v>
      </c>
      <c r="D33" s="4">
        <v>14</v>
      </c>
      <c r="E33" s="5">
        <v>0.20588235294117646</v>
      </c>
    </row>
    <row r="34" spans="2:5" x14ac:dyDescent="0.25">
      <c r="B34" s="3" t="s">
        <v>6</v>
      </c>
      <c r="C34" s="4">
        <v>56</v>
      </c>
      <c r="D34" s="4">
        <v>12</v>
      </c>
      <c r="E34" s="5">
        <v>0.21428571428571427</v>
      </c>
    </row>
    <row r="35" spans="2:5" x14ac:dyDescent="0.25">
      <c r="B35" s="3" t="s">
        <v>1</v>
      </c>
      <c r="C35" s="4">
        <v>62</v>
      </c>
      <c r="D35" s="4">
        <v>14</v>
      </c>
      <c r="E35" s="5">
        <v>0.22580645161290322</v>
      </c>
    </row>
    <row r="36" spans="2:5" x14ac:dyDescent="0.25">
      <c r="B36" s="3" t="s">
        <v>26</v>
      </c>
      <c r="C36" s="4">
        <v>56</v>
      </c>
      <c r="D36" s="4">
        <v>18</v>
      </c>
      <c r="E36" s="5">
        <v>0.32142857142857145</v>
      </c>
    </row>
    <row r="37" spans="2:5" x14ac:dyDescent="0.25">
      <c r="B37" s="3" t="s">
        <v>637</v>
      </c>
      <c r="C37" s="4">
        <v>601</v>
      </c>
      <c r="D37" s="4">
        <v>146</v>
      </c>
      <c r="E37" s="5">
        <v>0.24292845257903495</v>
      </c>
    </row>
    <row r="43" spans="2:5" x14ac:dyDescent="0.25">
      <c r="B43" s="2" t="s">
        <v>648</v>
      </c>
      <c r="C43" t="s">
        <v>638</v>
      </c>
      <c r="D43" t="s">
        <v>657</v>
      </c>
      <c r="E43" t="s">
        <v>642</v>
      </c>
    </row>
    <row r="44" spans="2:5" x14ac:dyDescent="0.25">
      <c r="B44" s="3" t="s">
        <v>646</v>
      </c>
      <c r="C44" s="4">
        <v>517</v>
      </c>
      <c r="D44" s="4">
        <v>117</v>
      </c>
      <c r="E44" s="5">
        <v>0.22630560928433269</v>
      </c>
    </row>
    <row r="45" spans="2:5" x14ac:dyDescent="0.25">
      <c r="B45" s="3" t="s">
        <v>647</v>
      </c>
      <c r="C45" s="4">
        <v>84</v>
      </c>
      <c r="D45" s="4">
        <v>29</v>
      </c>
      <c r="E45" s="5">
        <v>0.34523809523809523</v>
      </c>
    </row>
    <row r="46" spans="2:5" x14ac:dyDescent="0.25">
      <c r="B46" s="3" t="s">
        <v>637</v>
      </c>
      <c r="C46" s="4">
        <v>601</v>
      </c>
      <c r="D46" s="4">
        <v>146</v>
      </c>
      <c r="E46" s="5">
        <v>0.24292845257903495</v>
      </c>
    </row>
    <row r="53" spans="2:5" x14ac:dyDescent="0.25">
      <c r="B53" s="2" t="s">
        <v>658</v>
      </c>
      <c r="C53" t="s">
        <v>638</v>
      </c>
      <c r="D53" t="s">
        <v>657</v>
      </c>
      <c r="E53" t="s">
        <v>642</v>
      </c>
    </row>
    <row r="54" spans="2:5" x14ac:dyDescent="0.25">
      <c r="B54" s="3" t="s">
        <v>649</v>
      </c>
      <c r="C54" s="4">
        <v>48</v>
      </c>
      <c r="D54" s="4">
        <v>8</v>
      </c>
      <c r="E54" s="5">
        <v>0.16666666666666666</v>
      </c>
    </row>
    <row r="55" spans="2:5" x14ac:dyDescent="0.25">
      <c r="B55" s="3" t="s">
        <v>650</v>
      </c>
      <c r="C55" s="4">
        <v>78</v>
      </c>
      <c r="D55" s="4">
        <v>10</v>
      </c>
      <c r="E55" s="5">
        <v>0.12820512820512819</v>
      </c>
    </row>
    <row r="56" spans="2:5" x14ac:dyDescent="0.25">
      <c r="B56" s="3" t="s">
        <v>651</v>
      </c>
      <c r="C56" s="4">
        <v>107</v>
      </c>
      <c r="D56" s="4">
        <v>12</v>
      </c>
      <c r="E56" s="5">
        <v>0.11214953271028037</v>
      </c>
    </row>
    <row r="57" spans="2:5" x14ac:dyDescent="0.25">
      <c r="B57" s="3" t="s">
        <v>652</v>
      </c>
      <c r="C57" s="4">
        <v>97</v>
      </c>
      <c r="D57" s="4">
        <v>23</v>
      </c>
      <c r="E57" s="5">
        <v>0.23711340206185566</v>
      </c>
    </row>
    <row r="58" spans="2:5" x14ac:dyDescent="0.25">
      <c r="B58" s="3" t="s">
        <v>653</v>
      </c>
      <c r="C58" s="4">
        <v>99</v>
      </c>
      <c r="D58" s="4">
        <v>31</v>
      </c>
      <c r="E58" s="5">
        <v>0.31313131313131315</v>
      </c>
    </row>
    <row r="59" spans="2:5" x14ac:dyDescent="0.25">
      <c r="B59" s="3" t="s">
        <v>654</v>
      </c>
      <c r="C59" s="4">
        <v>76</v>
      </c>
      <c r="D59" s="4">
        <v>26</v>
      </c>
      <c r="E59" s="5">
        <v>0.34210526315789475</v>
      </c>
    </row>
    <row r="60" spans="2:5" x14ac:dyDescent="0.25">
      <c r="B60" s="3" t="s">
        <v>655</v>
      </c>
      <c r="C60" s="4">
        <v>44</v>
      </c>
      <c r="D60" s="4">
        <v>17</v>
      </c>
      <c r="E60" s="5">
        <v>0.38636363636363635</v>
      </c>
    </row>
    <row r="61" spans="2:5" x14ac:dyDescent="0.25">
      <c r="B61" s="3" t="s">
        <v>656</v>
      </c>
      <c r="C61" s="4">
        <v>52</v>
      </c>
      <c r="D61" s="4">
        <v>19</v>
      </c>
      <c r="E61" s="5">
        <v>0.36538461538461536</v>
      </c>
    </row>
    <row r="62" spans="2:5" x14ac:dyDescent="0.25">
      <c r="B62" s="3" t="s">
        <v>637</v>
      </c>
      <c r="C62" s="4">
        <v>601</v>
      </c>
      <c r="D62" s="4">
        <v>146</v>
      </c>
      <c r="E62" s="5">
        <v>0.24292845257903495</v>
      </c>
    </row>
    <row r="67" spans="2:3" x14ac:dyDescent="0.25">
      <c r="B67" s="2" t="s">
        <v>629</v>
      </c>
      <c r="C67" t="s">
        <v>659</v>
      </c>
    </row>
    <row r="68" spans="2:3" x14ac:dyDescent="0.25">
      <c r="B68" s="3">
        <v>0</v>
      </c>
      <c r="C68" s="7">
        <v>22012.747252747253</v>
      </c>
    </row>
    <row r="69" spans="2:3" x14ac:dyDescent="0.25">
      <c r="B69" s="3">
        <v>1</v>
      </c>
      <c r="C69" s="7">
        <v>22570.547945205479</v>
      </c>
    </row>
    <row r="70" spans="2:3" x14ac:dyDescent="0.25">
      <c r="B70" s="3" t="s">
        <v>637</v>
      </c>
      <c r="C70" s="7">
        <v>22148.252911813644</v>
      </c>
    </row>
  </sheetData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4CC9-AE76-4567-B093-BDC4BE623D29}">
  <dimension ref="A1:C52"/>
  <sheetViews>
    <sheetView workbookViewId="0">
      <selection activeCell="Q49" sqref="Q49"/>
    </sheetView>
  </sheetViews>
  <sheetFormatPr defaultRowHeight="15" x14ac:dyDescent="0.25"/>
  <cols>
    <col min="1" max="1" width="18.42578125" bestFit="1" customWidth="1"/>
    <col min="2" max="2" width="11.140625" bestFit="1" customWidth="1"/>
    <col min="3" max="3" width="9.140625" bestFit="1" customWidth="1"/>
  </cols>
  <sheetData>
    <row r="1" spans="1:3" x14ac:dyDescent="0.25">
      <c r="A1" t="s">
        <v>668</v>
      </c>
      <c r="B1" s="1" t="s">
        <v>642</v>
      </c>
      <c r="C1" s="1" t="s">
        <v>667</v>
      </c>
    </row>
    <row r="2" spans="1:3" x14ac:dyDescent="0.25">
      <c r="A2" s="3" t="s">
        <v>632</v>
      </c>
      <c r="B2" s="1">
        <v>0.49137931034482757</v>
      </c>
      <c r="C2" s="1">
        <v>0.12</v>
      </c>
    </row>
    <row r="3" spans="1:3" x14ac:dyDescent="0.25">
      <c r="A3" s="3" t="s">
        <v>633</v>
      </c>
      <c r="B3" s="1">
        <v>0.29032258064516131</v>
      </c>
      <c r="C3" s="1">
        <v>0.12</v>
      </c>
    </row>
    <row r="4" spans="1:3" x14ac:dyDescent="0.25">
      <c r="A4" s="3" t="s">
        <v>634</v>
      </c>
      <c r="B4" s="1">
        <v>0.28000000000000003</v>
      </c>
      <c r="C4" s="1">
        <v>0.12</v>
      </c>
    </row>
    <row r="5" spans="1:3" x14ac:dyDescent="0.25">
      <c r="A5" s="3" t="s">
        <v>635</v>
      </c>
      <c r="B5" s="1">
        <v>0.16279069767441862</v>
      </c>
      <c r="C5" s="1">
        <v>0.12</v>
      </c>
    </row>
    <row r="6" spans="1:3" x14ac:dyDescent="0.25">
      <c r="A6" s="3" t="s">
        <v>636</v>
      </c>
      <c r="B6" s="1">
        <v>0.11688311688311688</v>
      </c>
      <c r="C6" s="1">
        <v>0.12</v>
      </c>
    </row>
    <row r="22" spans="1:2" x14ac:dyDescent="0.25">
      <c r="A22" t="s">
        <v>669</v>
      </c>
      <c r="B22" t="s">
        <v>642</v>
      </c>
    </row>
    <row r="23" spans="1:2" x14ac:dyDescent="0.25">
      <c r="A23" s="3" t="s">
        <v>649</v>
      </c>
      <c r="B23" s="5">
        <v>0.16666666666666666</v>
      </c>
    </row>
    <row r="24" spans="1:2" x14ac:dyDescent="0.25">
      <c r="A24" s="3" t="s">
        <v>650</v>
      </c>
      <c r="B24" s="5">
        <v>0.12820512820512819</v>
      </c>
    </row>
    <row r="25" spans="1:2" x14ac:dyDescent="0.25">
      <c r="A25" s="3" t="s">
        <v>651</v>
      </c>
      <c r="B25" s="5">
        <v>0.11214953271028037</v>
      </c>
    </row>
    <row r="26" spans="1:2" x14ac:dyDescent="0.25">
      <c r="A26" s="3" t="s">
        <v>652</v>
      </c>
      <c r="B26" s="5">
        <v>0.23711340206185566</v>
      </c>
    </row>
    <row r="27" spans="1:2" x14ac:dyDescent="0.25">
      <c r="A27" s="3" t="s">
        <v>653</v>
      </c>
      <c r="B27" s="5">
        <v>0.31313131313131315</v>
      </c>
    </row>
    <row r="28" spans="1:2" x14ac:dyDescent="0.25">
      <c r="A28" s="3" t="s">
        <v>654</v>
      </c>
      <c r="B28" s="5">
        <v>0.34210526315789475</v>
      </c>
    </row>
    <row r="29" spans="1:2" x14ac:dyDescent="0.25">
      <c r="A29" s="3" t="s">
        <v>655</v>
      </c>
      <c r="B29" s="5">
        <v>0.38636363636363635</v>
      </c>
    </row>
    <row r="30" spans="1:2" x14ac:dyDescent="0.25">
      <c r="A30" s="3" t="s">
        <v>656</v>
      </c>
      <c r="B30" s="5">
        <v>0.36538461538461536</v>
      </c>
    </row>
    <row r="42" spans="1:2" x14ac:dyDescent="0.25">
      <c r="A42" t="s">
        <v>645</v>
      </c>
      <c r="B42" t="s">
        <v>642</v>
      </c>
    </row>
    <row r="43" spans="1:2" x14ac:dyDescent="0.25">
      <c r="A43" s="3" t="s">
        <v>9</v>
      </c>
      <c r="B43" s="5">
        <v>0.2711864406779661</v>
      </c>
    </row>
    <row r="44" spans="1:2" x14ac:dyDescent="0.25">
      <c r="A44" s="3" t="s">
        <v>19</v>
      </c>
      <c r="B44" s="5">
        <v>0.2413793103448276</v>
      </c>
    </row>
    <row r="45" spans="1:2" x14ac:dyDescent="0.25">
      <c r="A45" s="3" t="s">
        <v>21</v>
      </c>
      <c r="B45" s="5">
        <v>0.21568627450980393</v>
      </c>
    </row>
    <row r="46" spans="1:2" x14ac:dyDescent="0.25">
      <c r="A46" s="3" t="s">
        <v>13</v>
      </c>
      <c r="B46" s="5">
        <v>0.22641509433962265</v>
      </c>
    </row>
    <row r="47" spans="1:2" x14ac:dyDescent="0.25">
      <c r="A47" s="3" t="s">
        <v>17</v>
      </c>
      <c r="B47" s="5">
        <v>0.2857142857142857</v>
      </c>
    </row>
    <row r="48" spans="1:2" x14ac:dyDescent="0.25">
      <c r="A48" s="3" t="s">
        <v>4</v>
      </c>
      <c r="B48" s="5">
        <v>0.22058823529411764</v>
      </c>
    </row>
    <row r="49" spans="1:2" x14ac:dyDescent="0.25">
      <c r="A49" s="3" t="s">
        <v>15</v>
      </c>
      <c r="B49" s="5">
        <v>0.20588235294117646</v>
      </c>
    </row>
    <row r="50" spans="1:2" x14ac:dyDescent="0.25">
      <c r="A50" s="3" t="s">
        <v>6</v>
      </c>
      <c r="B50" s="5">
        <v>0.21428571428571427</v>
      </c>
    </row>
    <row r="51" spans="1:2" x14ac:dyDescent="0.25">
      <c r="A51" s="3" t="s">
        <v>1</v>
      </c>
      <c r="B51" s="5">
        <v>0.22580645161290322</v>
      </c>
    </row>
    <row r="52" spans="1:2" x14ac:dyDescent="0.25">
      <c r="A52" s="3" t="s">
        <v>26</v>
      </c>
      <c r="B52" s="5">
        <v>0.32142857142857145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B04D-4667-4950-8F21-5DDB01C3F1AD}">
  <dimension ref="B2:R17"/>
  <sheetViews>
    <sheetView showGridLines="0" tabSelected="1" zoomScale="70" zoomScaleNormal="70" workbookViewId="0">
      <selection activeCell="W27" sqref="W27"/>
    </sheetView>
  </sheetViews>
  <sheetFormatPr defaultRowHeight="15" x14ac:dyDescent="0.25"/>
  <cols>
    <col min="1" max="5" width="9.140625" style="8"/>
    <col min="6" max="6" width="9.140625" style="8" customWidth="1"/>
    <col min="7" max="9" width="9.140625" style="8"/>
    <col min="10" max="10" width="9.140625" style="8" customWidth="1"/>
    <col min="11" max="13" width="9.140625" style="8"/>
    <col min="14" max="14" width="9.140625" style="8" customWidth="1"/>
    <col min="15" max="16384" width="9.140625" style="8"/>
  </cols>
  <sheetData>
    <row r="2" spans="2:18" ht="28.5" x14ac:dyDescent="0.45">
      <c r="B2" s="17" t="s">
        <v>671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4" spans="2:18" x14ac:dyDescent="0.25">
      <c r="C4" s="15" t="s">
        <v>643</v>
      </c>
      <c r="D4" s="15"/>
      <c r="E4" s="15"/>
      <c r="G4" s="15" t="s">
        <v>639</v>
      </c>
      <c r="H4" s="15"/>
      <c r="I4" s="15"/>
      <c r="K4" s="11" t="s">
        <v>642</v>
      </c>
      <c r="L4" s="11"/>
      <c r="M4" s="11"/>
      <c r="O4" s="10" t="s">
        <v>670</v>
      </c>
      <c r="P4" s="10"/>
      <c r="Q4" s="10"/>
    </row>
    <row r="5" spans="2:18" ht="31.5" x14ac:dyDescent="0.5">
      <c r="C5" s="14">
        <f>summary!B2</f>
        <v>601</v>
      </c>
      <c r="D5" s="14"/>
      <c r="E5" s="14"/>
      <c r="G5" s="14">
        <f>summary!B3</f>
        <v>146</v>
      </c>
      <c r="H5" s="14"/>
      <c r="I5" s="14"/>
      <c r="K5" s="12">
        <f>summary!B4</f>
        <v>0.24292845257903495</v>
      </c>
      <c r="L5" s="12"/>
      <c r="M5" s="12"/>
      <c r="O5" s="13">
        <v>0.12</v>
      </c>
      <c r="P5" s="13"/>
      <c r="Q5" s="13"/>
    </row>
    <row r="17" spans="17:17" x14ac:dyDescent="0.25">
      <c r="Q17" s="9"/>
    </row>
  </sheetData>
  <mergeCells count="9">
    <mergeCell ref="B2:R2"/>
    <mergeCell ref="C4:E4"/>
    <mergeCell ref="C5:E5"/>
    <mergeCell ref="G4:I4"/>
    <mergeCell ref="G5:I5"/>
    <mergeCell ref="K4:M4"/>
    <mergeCell ref="K5:M5"/>
    <mergeCell ref="O4:Q4"/>
    <mergeCell ref="O5:Q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summary</vt:lpstr>
      <vt:lpstr>pivot tables </vt:lpstr>
      <vt:lpstr>charts</vt:lpstr>
      <vt:lpstr>Dashboard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kildare maziva</dc:creator>
  <cp:lastModifiedBy>kildare maziva</cp:lastModifiedBy>
  <dcterms:created xsi:type="dcterms:W3CDTF">2026-10-23T18:32:41Z</dcterms:created>
  <dcterms:modified xsi:type="dcterms:W3CDTF">2026-10-24T13:52:21Z</dcterms:modified>
</cp:coreProperties>
</file>